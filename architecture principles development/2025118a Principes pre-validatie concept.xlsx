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defaultThemeVersion="202300"/>
  <mc:AlternateContent xmlns:mc="http://schemas.openxmlformats.org/markup-compatibility/2006">
    <mc:Choice Requires="x15">
      <x15ac:absPath xmlns:x15ac="http://schemas.microsoft.com/office/spreadsheetml/2010/11/ac" url="https://surf.sharepoint.com/sites/m365-HORA-team/Gedeelde documenten/General/Producten/Principes/Werk/"/>
    </mc:Choice>
  </mc:AlternateContent>
  <xr:revisionPtr revIDLastSave="358" documentId="8_{AFB8A772-590E-3D40-8761-AE634E97FA11}" xr6:coauthVersionLast="47" xr6:coauthVersionMax="47" xr10:uidLastSave="{E818AC30-FC70-AC4D-86AC-E203C19954DB}"/>
  <bookViews>
    <workbookView xWindow="30400" yWindow="-300" windowWidth="38080" windowHeight="19000" activeTab="4" xr2:uid="{E5C5C21B-8EF7-9F47-ABBA-B0E98C1A2381}"/>
  </bookViews>
  <sheets>
    <sheet name="Fundamentele definities" sheetId="8" r:id="rId1"/>
    <sheet name="Kernwaardenbeschrijving" sheetId="2" r:id="rId2"/>
    <sheet name="Kwaliteitsdoelenbeschrijving" sheetId="1" r:id="rId3"/>
    <sheet name="Kernwaarde vs kwaliteitsdoel" sheetId="5" r:id="rId4"/>
    <sheet name="Principes" sheetId="3" r:id="rId5"/>
    <sheet name="Kwaliteitsdoel vs principe" sheetId="7"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24" i="7" l="1"/>
  <c r="X24" i="7"/>
  <c r="W24" i="7"/>
  <c r="V24" i="7"/>
  <c r="U24" i="7"/>
  <c r="T24" i="7"/>
  <c r="S24" i="7"/>
  <c r="R24" i="7"/>
  <c r="Q24" i="7"/>
  <c r="P24" i="7"/>
  <c r="O24" i="7"/>
  <c r="N24" i="7"/>
  <c r="M24" i="7"/>
  <c r="L24" i="7"/>
  <c r="K24" i="7"/>
  <c r="J24" i="7"/>
  <c r="I24" i="7"/>
  <c r="H24" i="7"/>
  <c r="G24" i="7"/>
  <c r="F24" i="7"/>
  <c r="E24" i="7"/>
  <c r="D24" i="7"/>
  <c r="C24" i="7"/>
  <c r="B24" i="7"/>
  <c r="Z24" i="7"/>
  <c r="AA23" i="7"/>
  <c r="AA22" i="7"/>
  <c r="AA21" i="7"/>
  <c r="AA20" i="7"/>
  <c r="AA19" i="7"/>
  <c r="AA18" i="7"/>
  <c r="AA17" i="7"/>
  <c r="AA16" i="7"/>
  <c r="AA15" i="7"/>
  <c r="AA14" i="7"/>
  <c r="AA13" i="7"/>
  <c r="AA12" i="7"/>
  <c r="AA11" i="7"/>
  <c r="AA10" i="7"/>
  <c r="AA9" i="7"/>
  <c r="AA8" i="7"/>
  <c r="AA7" i="7"/>
  <c r="AA6" i="7"/>
  <c r="AA5" i="7"/>
  <c r="AA4" i="7"/>
  <c r="AA3" i="7"/>
  <c r="AA2" i="7"/>
</calcChain>
</file>

<file path=xl/sharedStrings.xml><?xml version="1.0" encoding="utf-8"?>
<sst xmlns="http://schemas.openxmlformats.org/spreadsheetml/2006/main" count="548" uniqueCount="356">
  <si>
    <t>Kwaliteitsdoel</t>
  </si>
  <si>
    <r>
      <t xml:space="preserve">Beschrijving (het </t>
    </r>
    <r>
      <rPr>
        <b/>
        <i/>
        <sz val="12"/>
        <color theme="1"/>
        <rFont val="Aptos Narrow"/>
        <family val="2"/>
        <scheme val="minor"/>
      </rPr>
      <t>wat</t>
    </r>
    <r>
      <rPr>
        <b/>
        <sz val="12"/>
        <color theme="1"/>
        <rFont val="Aptos Narrow"/>
        <family val="2"/>
        <scheme val="minor"/>
      </rPr>
      <t>)</t>
    </r>
  </si>
  <si>
    <t>Autonoom</t>
  </si>
  <si>
    <t>Respecteert keuzevrijheid en eigenaarschap over leerpad, onderzoek en data; beslisruimte zonder ongewenste afhankelijkheden.</t>
  </si>
  <si>
    <t>Betekenisvol</t>
  </si>
  <si>
    <t>Draagt zichtbaar bij aan persoonlijke ontwikkeling, vakmanschap en maatschappelijke meerwaarde; interacties zijn relevant.</t>
  </si>
  <si>
    <t>Betrouwbaar</t>
  </si>
  <si>
    <t>Levert voorspelbare kwaliteit; informatie en uitkomsten zijn juist, volledig en herleidbaar.</t>
  </si>
  <si>
    <t>Doelmatig</t>
  </si>
  <si>
    <t>Realiseert maximale publieke waarde met sobere, proportionele inzet van middelen; voorkomt verspilling.</t>
  </si>
  <si>
    <t>Doorwerkend</t>
  </si>
  <si>
    <t>Heeft invloed op zowel het proces van onderwijs en onderzoek als op de toepassing van onderwijs- en onderzoeksresultaten in praktijk en samenleving.</t>
  </si>
  <si>
    <t>Duurzaam</t>
  </si>
  <si>
    <t>Houdt rekening met effecten op mens, milieu en maatschappij; bestendig voor toekomstige generaties.</t>
  </si>
  <si>
    <t>Flexibel</t>
  </si>
  <si>
    <t>Ondersteunt variërende routes, tempo’s en contexten; past zich aan veranderende behoeften aan.</t>
  </si>
  <si>
    <t>Herbruikbaar</t>
  </si>
  <si>
    <t>Resultaten en data zijn opnieuw inzetbaar in andere contexten; vermindert dubbel werk.</t>
  </si>
  <si>
    <t>Inclusief</t>
  </si>
  <si>
    <t>Sluit niemand uit; bevordert gelijke kansen en toegankelijkheid voor diverse doelgroepen.</t>
  </si>
  <si>
    <t>Innovatief</t>
  </si>
  <si>
    <t>Stimuleert vernieuwing waar dit relevantie en kwaliteit vergroot; open voor experiment en verbetering.</t>
  </si>
  <si>
    <t>Interoperabel</t>
  </si>
  <si>
    <t>Maakt samenhang en uitwisseling van data en processen mogelijk over afdelingen/instellingen/ketens.</t>
  </si>
  <si>
    <t>Mensgericht</t>
  </si>
  <si>
    <t>Stelt de mens boven het systeem; menselijke maat, waardigheid en respect staan centraal.</t>
  </si>
  <si>
    <t>Persoonlijk</t>
  </si>
  <si>
    <t>Erkent individuele doelen en omstandigheden; biedt ruimte voor maatwerk.</t>
  </si>
  <si>
    <t>Privacyvriendelijk</t>
  </si>
  <si>
    <t>Beschermt persoonlijke levenssfeer via dataminimalisatie, toestemming en grenzen aan (her)gebruik.</t>
  </si>
  <si>
    <t>Rechtmatig</t>
  </si>
  <si>
    <t>Voldoet aan wet- en normkaders; naleving is aantoonbaar.</t>
  </si>
  <si>
    <t>Samenwerkend</t>
  </si>
  <si>
    <t>Verbindt actief met publieke en private partners; werkt in wederkerige ecosystemen.</t>
  </si>
  <si>
    <t>Soeverein</t>
  </si>
  <si>
    <t>Borgt regie over data, identiteiten en sleutelvoorzieningen; voorkomt lock-in.</t>
  </si>
  <si>
    <t>Toegankelijk</t>
  </si>
  <si>
    <t>Is bruikbaar, vindbaar en begrijpelijk voor iedereen en in uiteenlopende contexten.</t>
  </si>
  <si>
    <t>Toepasbaar</t>
  </si>
  <si>
    <t>Levert direct bruikbare kennis/voorzieningen voor beleid, praktijk en markt.</t>
  </si>
  <si>
    <t>Traceerbaar</t>
  </si>
  <si>
    <t>Herkomst, bewerkingen en verantwoordelijkheden zijn te volgen; rekenschap is mogelijk.</t>
  </si>
  <si>
    <t>Transparant</t>
  </si>
  <si>
    <t>Doel, werking, datagebruik en resultaten zijn inzichtelijk en verklaarbaar.</t>
  </si>
  <si>
    <t>Toekomstvast</t>
  </si>
  <si>
    <t>Blijft relevant bij demografische, technologische en maatschappelijke veranderingen.</t>
  </si>
  <si>
    <t>Veilig</t>
  </si>
  <si>
    <t>Waarborgt sociale, fysieke en digitale veiligheid; beperkt risico’s voor personen en organisatie.</t>
  </si>
  <si>
    <t>Welzijnsgericht</t>
  </si>
  <si>
    <t>Bevordert gezondheid, balans en sociale veiligheid; voorkomt onnodige belasting.</t>
  </si>
  <si>
    <t>Wendbaar</t>
  </si>
  <si>
    <t>Speelt snel en verantwoord in op nieuwe vragen en verstoringen; herstelt vlot en past zich aan.</t>
  </si>
  <si>
    <t>Kernwaarde</t>
  </si>
  <si>
    <t>Beschrijving</t>
  </si>
  <si>
    <t>Rechtvaardigheid</t>
  </si>
  <si>
    <t>Rechtvaardigheid omvat begrippen als gelijkheid, inclusiviteit en integriteit. In het hoger onderwijs zou iedereen gelijke kansen moeten krijgen, zonder dat er groepen benadeeld of uitgesloten worden. En zonder dat sociale of culturele achtergrond of gender invloed hebben op de behandeling die medewerkers en studenten krijgen. Het betekent dat zij zonder vooroordelen worden benaderd.</t>
  </si>
  <si>
    <t>Menselijkheid</t>
  </si>
  <si>
    <t>Menselijkheid betekent oog voor de mens in onderwijs en onderzoek. Het gaat om sociale samenhang, betekenisvol contact, respect, veiligheid, gezondheid en welzijn en zelfontplooiing. Instellingen zorgen voor sociale verbondenheid, ontmoetingen en betekenisvol contact.</t>
  </si>
  <si>
    <t>Autonomie</t>
  </si>
  <si>
    <t>Autonomie betekent letterlijk: jezelf de wet voorschrijven. Autonomie omvat waarden als zelfbeschikking, bescherming van de persoonlijke levenssfeer, onafhankelijkheid en vrijheid van onderwijs en onderzoek.</t>
  </si>
  <si>
    <t>ID</t>
  </si>
  <si>
    <t>Naam</t>
  </si>
  <si>
    <t>Stelling</t>
  </si>
  <si>
    <t>Indicatoren/KPI’s</t>
  </si>
  <si>
    <t>Voorbeelden / antipatronen</t>
  </si>
  <si>
    <t>AP-01</t>
  </si>
  <si>
    <t>Privacy-by-default</t>
  </si>
  <si>
    <t>Verwerk persoonsgegevens standaard minimaal, afgeschermd en doelgebonden.</t>
  </si>
  <si>
    <t>Respecteert autonomie en vertrouwen; beperkt risico’s en voldoet aan wet.</t>
  </si>
  <si>
    <t>beide</t>
  </si>
  <si>
    <t>CPO+CISO+CIO; max 12 mnd; registreren + mitigatie</t>
  </si>
  <si>
    <t>Anti: standaard profilering aan</t>
  </si>
  <si>
    <t>AP-02</t>
  </si>
  <si>
    <t>Security-by-design</t>
  </si>
  <si>
    <t>Ontwerp en beheer op basis van risico’s met preventie, detectie en herstel.</t>
  </si>
  <si>
    <t>Beschermt continuïteit, kennisveiligheid en welzijn.</t>
  </si>
  <si>
    <t>CISO-goedkeuring; max 6 mnd; compensaties</t>
  </si>
  <si>
    <t>Anti: productie zonder patchbeleid</t>
  </si>
  <si>
    <t>AP-03</t>
  </si>
  <si>
    <t>Toegankelijkheid-standaard</t>
  </si>
  <si>
    <t>Hanteer toegankelijkheid als basiseis voor álle touchpoints en content.</t>
  </si>
  <si>
    <t>Garandeert inclusie en gelijke kansen.</t>
  </si>
  <si>
    <t>Board Toegankelijkheid; plan + compensaties</t>
  </si>
  <si>
    <t>Anti: enkel visuele feedback</t>
  </si>
  <si>
    <t>AP-04</t>
  </si>
  <si>
    <t>Voorkomt lock-in; bevordert samenwerking/hergebruik.</t>
  </si>
  <si>
    <t>Architectuurboard; exit-strategie verplicht</t>
  </si>
  <si>
    <t>Anti: black-box zonder export-API</t>
  </si>
  <si>
    <t>AP-05</t>
  </si>
  <si>
    <t>Open-tot-de-grens</t>
  </si>
  <si>
    <t>Publiceer kennis/data/code waar verantwoord met duidelijke licenties.</t>
  </si>
  <si>
    <t>Vergroot maatschappelijke waarde en transparantie.</t>
  </si>
  <si>
    <t>CDO/CPO; herbeoordeling 12 mnd</t>
  </si>
  <si>
    <t>Anti: “open” zonder licentie</t>
  </si>
  <si>
    <t>AP-06</t>
  </si>
  <si>
    <t>Hergebruik-eerst</t>
  </si>
  <si>
    <t>Kies vóór hergebruik van voorzieningen, data en componenten.</t>
  </si>
  <si>
    <t>Verhoogt doelmatigheid en consistentie.</t>
  </si>
  <si>
    <t>CIO/portfolio; TCO-case vereist</t>
  </si>
  <si>
    <t>Anti: maatwerk bij bestaand alternatief</t>
  </si>
  <si>
    <t>AP-07</t>
  </si>
  <si>
    <t>Mensgerichte-ervaring</t>
  </si>
  <si>
    <t>Ontwerp dienstverlening vanuit de leefwereld, niet vanuit systemen.</t>
  </si>
  <si>
    <t>Verhoogt gebruik, effect en tevredenheid.</t>
  </si>
  <si>
    <t>instelling</t>
  </si>
  <si>
    <t>Vice-rector/CIO; tijdelijk + impactanalyse</t>
  </si>
  <si>
    <t>Anti: proces dicteert ervaring</t>
  </si>
  <si>
    <t>AP-08</t>
  </si>
  <si>
    <t>Transparant &amp; verklaarbaar</t>
  </si>
  <si>
    <t>Maak doel, werking, datastromen en logica navolgbaar.</t>
  </si>
  <si>
    <t>Bouwt vertrouwen en verantwoording.</t>
  </si>
  <si>
    <t>Alleen bij veiligheids-/rechtsbeletsel; documenteer</t>
  </si>
  <si>
    <t>Anti: black-box beslissingen</t>
  </si>
  <si>
    <t>AP-09</t>
  </si>
  <si>
    <t>Formele datagovernance</t>
  </si>
  <si>
    <t>Wijs eigenaarschap/rollen/kwaliteitseisen toe aan kerngegevens.</t>
  </si>
  <si>
    <t>Verbetert betrouwbaarheid en interoperabiliteit.</t>
  </si>
  <si>
    <t>CIO-board; afwijking met verbeterplan</t>
  </si>
  <si>
    <t>Anti: meerdere waarheden</t>
  </si>
  <si>
    <t>AP-10</t>
  </si>
  <si>
    <t>Verantwoorde innovatie</t>
  </si>
  <si>
    <t>Houdt vernieuwing waarde-gedreven en veilig.</t>
  </si>
  <si>
    <t>Innovatieboard; tijdbox + evaluatie</t>
  </si>
  <si>
    <t>Anti: PoC direct in productie</t>
  </si>
  <si>
    <t>AP-11</t>
  </si>
  <si>
    <t>Modulaire wendbaarheid</t>
  </si>
  <si>
    <t>Verkort change doorlooptijd en voorkomt rigiditeit.</t>
  </si>
  <si>
    <t>Architectuurboard; onderbouwing vereist</t>
  </si>
  <si>
    <t>Anti: monoliet + harde koppelingen</t>
  </si>
  <si>
    <t>AP-12</t>
  </si>
  <si>
    <t>Duurzaamheid-verankerd</t>
  </si>
  <si>
    <t>Weeg milieu- en maatschappelijke impact expliciet mee.</t>
  </si>
  <si>
    <t>Verkleint voetafdruk en borgt publieke waarde.</t>
  </si>
  <si>
    <t>Portfolioboard; compenserende maatregelen</t>
  </si>
  <si>
    <t>Anti: idle resources permanent aan</t>
  </si>
  <si>
    <t>AP-13</t>
  </si>
  <si>
    <t>Data-soevereiniteit</t>
  </si>
  <si>
    <t>Behoud regie over data/ID/sleutels; voorkom lock-in.</t>
  </si>
  <si>
    <t>Versterkt autonomie en strategische weerbaarheid.</t>
  </si>
  <si>
    <t>CvB op advies CIO/CPO</t>
  </si>
  <si>
    <t>Anti: geen exit-mogelijkheid</t>
  </si>
  <si>
    <t>AP-14</t>
  </si>
  <si>
    <t>Fairness &amp; non-discriminatie</t>
  </si>
  <si>
    <t>Voorkom directe/indirecte discriminatie in data/algoritmen/processen.</t>
  </si>
  <si>
    <t>Waarborgt gelijke kansen en vertrouwen.</t>
  </si>
  <si>
    <t>Ethics board; herbeoordeling periodiek</t>
  </si>
  <si>
    <t>Anti: trainen op scheve data</t>
  </si>
  <si>
    <t>AP-15</t>
  </si>
  <si>
    <t>Compliance &amp; audit</t>
  </si>
  <si>
    <t>Maakt verantwoording en vertrouwen mogelijk.</t>
  </si>
  <si>
    <t>Auditcommittee; “comply or explain”</t>
  </si>
  <si>
    <t>Anti: logging zonder integriteit</t>
  </si>
  <si>
    <t>AP-16</t>
  </si>
  <si>
    <t>Kosteneffectiviteit</t>
  </si>
  <si>
    <t>Verantwoordt middelen, vergroot ruimte voor R&amp;I.</t>
  </si>
  <si>
    <t>CFO/CIO akkoord; evaluatie 12 mnd</t>
  </si>
  <si>
    <t>Anti: lokale duplicatie</t>
  </si>
  <si>
    <t>AP-17</t>
  </si>
  <si>
    <t>Gebruiksgestuurd &amp; toepasbaar</t>
  </si>
  <si>
    <t>Koppel functionaliteit aan concrete leer-/werk-/onderzoeksbehoeften.</t>
  </si>
  <si>
    <t>Verhoogt directe waarde en acceptatie.</t>
  </si>
  <si>
    <t>Program board; pilot bij onzekerheid</t>
  </si>
  <si>
    <t>Anti: feature-gedreven zonder waarde</t>
  </si>
  <si>
    <t>AP-18</t>
  </si>
  <si>
    <t>Versnelt samenwerking en verantwoording.</t>
  </si>
  <si>
    <t>keten</t>
  </si>
  <si>
    <t>Anti: uiteenlopende definities</t>
  </si>
  <si>
    <t>AP-19</t>
  </si>
  <si>
    <t>Versterkt autonomie, mobiliteit en motivatie.</t>
  </si>
  <si>
    <t>CPO/CIO; tijdelijk en gemotiveerd</t>
  </si>
  <si>
    <t>Anti: onherroepbare toestemming</t>
  </si>
  <si>
    <t>AP-20</t>
  </si>
  <si>
    <t>Continu verbeteren</t>
  </si>
  <si>
    <t>Meet prestaties/effecten en stuur cyclisch bij.</t>
  </si>
  <si>
    <t>Houdt diensten betrouwbaar, transparant en relevant.</t>
  </si>
  <si>
    <t>— (basisprincipe)</t>
  </si>
  <si>
    <t>Anti: alleen output, geen outcome</t>
  </si>
  <si>
    <t>AP-21</t>
  </si>
  <si>
    <t>Digitaal welbevinden</t>
  </si>
  <si>
    <t>Voorkom onnodige belasting en risico’s in digitale diensten.</t>
  </si>
  <si>
    <t>Ondersteunt menselijkheid en inzetbaarheid.</t>
  </si>
  <si>
    <t>HR/onderwijsboard; tijdelijk + mitigatie</t>
  </si>
  <si>
    <t>Anti: notificatiespam/verslavingspatronen</t>
  </si>
  <si>
    <t>AP-22</t>
  </si>
  <si>
    <t>Impactsturing-doorwerkend</t>
  </si>
  <si>
    <t>Stuur op doorwerkende impact van onderzoek en onderwijs.</t>
  </si>
  <si>
    <t>Verkleint de “valley of death” tussen kennis en praktijk.</t>
  </si>
  <si>
    <t>Impactboard; tijdbox + evaluatie</t>
  </si>
  <si>
    <t>Anti: impact-washing (alleen output)</t>
  </si>
  <si>
    <t>Argumentatie (waarom dit doel bij deze waarde hoort)</t>
  </si>
  <si>
    <t>Rekening houden met toekomstige generaties is een rechtvaardige intergenerationele keuze.</t>
  </si>
  <si>
    <t>Open/FAIR hergebruik vermindert verspilling en vergroot gelijke toegang tot kennis.</t>
  </si>
  <si>
    <t>Gelijke kansen en non-discriminatie zijn kern van een rechtvaardig stelsel.</t>
  </si>
  <si>
    <t>Open standaarden maken gelijke, transparante toegang en controleerbare uitwisseling mogelijk.</t>
  </si>
  <si>
    <t>Naleving van wet- en normkaders beschermt publieke waarden en gelijke behandeling.</t>
  </si>
  <si>
    <t>Drempelloze toegang is voorwaarde voor gelijke kansen.</t>
  </si>
  <si>
    <t>Publieke kennis levert aantoonbaar nut voor samenleving; middelen worden zichtbaar rechtvaardig besteed.</t>
  </si>
  <si>
    <t>Inzicht in keuzes, werking en datagebruik maakt controle en gelijke behandeling mogelijk.</t>
  </si>
  <si>
    <t>Focus op zinvolle leer-/werkervaringen en ontwikkeling van mensen.</t>
  </si>
  <si>
    <t>Tastbare verbeteringen in het dagelijks leven en de leefwereld van mensen.</t>
  </si>
  <si>
    <t>Waardigheid, respect en de menselijke maat staan centraal.</t>
  </si>
  <si>
    <t>Erkenning van iemands context en behoeften versterkt humane dienstverlening.</t>
  </si>
  <si>
    <t>Wederkerige relaties en sociale samenhang zijn mensgericht van aard.</t>
  </si>
  <si>
    <t>Sociale en digitale veiligheid beschermen mensen tegen schade.</t>
  </si>
  <si>
    <t>Gezondheid, balans en sociale veiligheid zijn kernaspecten van menselijkheid.</t>
  </si>
  <si>
    <t>Zelfbeschikking en eigenaarschap over leerpad, onderzoek en data.</t>
  </si>
  <si>
    <t>Keuzevrijheid in routes, tempo en context vergroot regie.</t>
  </si>
  <si>
    <t>Professionele zelfstandigheid om te vernieuwen en onafhankelijk te verbeteren.</t>
  </si>
  <si>
    <t>Voorkomt lock-in en vergroot keuzevrijheid tussen voorzieningen en partners.</t>
  </si>
  <si>
    <t>Regie en keuzes worden op individueel niveau mogelijk gemaakt.</t>
  </si>
  <si>
    <t>Persoonsgegevens onder eigen regie; dataminimalisatie en toestemming.</t>
  </si>
  <si>
    <t>Strategische onafhankelijkheid van derden en jurisdicties.</t>
  </si>
  <si>
    <t>Behoud van handelingsvrijheid bij technologische/maatschappelijke veranderingen.</t>
  </si>
  <si>
    <t>Snelle, autonome respons op verandering vergroot handelingsruimte.</t>
  </si>
  <si>
    <t>Sectorstandaardisatie</t>
  </si>
  <si>
    <t>• Dataminimalisatie verplicht 
• Tracking/profiling standaard uit (opt-in) 
• DPIA bij hoog risico</t>
  </si>
  <si>
    <t>• Risicobeoordeling incl. leveranciers 
• MFA + encryptie 
• Patch- en herstel-oefeningen</t>
  </si>
  <si>
    <t>• WCAG 2.2 AA/EN 301 549 
• Toets in acceptatie 
• Alternatieve kanalen kritisch</t>
  </si>
  <si>
    <t>• Open licenties (waar kan) 
• FAIR-metadata 
• Uitzonderingen voor privacy/veiligheid/contract</t>
  </si>
  <si>
    <t>• Reuse-check + catalogus 
• Voorkeur sectorvoorzieningen/SaaS 
• Lifecycle-afspraken</t>
  </si>
  <si>
    <t>• Uitlegbaarheid (incl. AI) 
• Data-lineage 
• Publiceer serviceniveaus</t>
  </si>
  <si>
    <t>• Data-eigenaar/steward/custodian 
• DQ-eisen bewaakt 
• Golden record-strategie</t>
  </si>
  <si>
    <t>• Energie/CO₂-criteria in inkoop 
• Meet &amp; optimaliseer verbruik 
• E-waste/hergebruik</t>
  </si>
  <si>
    <t>• Bias-assessments 
• Transparante criteria 
• Bezwaarroute</t>
  </si>
  <si>
    <t>• Outcome/KPI’s per dienst 
• Co-design met eindgebruikers 
• Post-implementatie review</t>
  </si>
  <si>
    <t>• Opt-in, herroepbare deling 
• Verifieerbare bewijzen 
• Inzage/toestemming helder</t>
  </si>
  <si>
    <t>• Waarden-KPI’s in SLA/OLA 
• Publieke rapportage 
• Lerende cultuur</t>
  </si>
  <si>
    <t>• Normen voor workload/alerts 
• Social safety (moderatie/meldpaden) 
• Geen dark patterns</t>
  </si>
  <si>
    <t>• Outcome-KPI’s per project 
• Impactlogica (beleid/praktijk/markt) 
• Periodieke “in-gebruik” audits</t>
  </si>
  <si>
    <t>Scope
(sector of instelling)</t>
  </si>
  <si>
    <t>Kwaliteitsdoelen</t>
  </si>
  <si>
    <t>Standaard/wet- en regelgeving</t>
  </si>
  <si>
    <t>Privacyvriendelijk, Autonoom, Rechtmatig, Betrouwbaar</t>
  </si>
  <si>
    <t>Veilig, Betrouwbaar, Toekomstvast, Welzijnsgericht</t>
  </si>
  <si>
    <t>Toegankelijk, Inclusief, Mensgericht</t>
  </si>
  <si>
    <t>Interoperabel, Samenwerkend, Traceerbaar, Soeverein</t>
  </si>
  <si>
    <t>Herbruikbaar, Transparant, Doelmatig</t>
  </si>
  <si>
    <t>Herbruikbaar, Doelmatig, Toekomstvast</t>
  </si>
  <si>
    <t>Mensgericht, Persoonlijk, Betekenisvol, Toegankelijk</t>
  </si>
  <si>
    <t>Transparant, Traceerbaar, Betrouwbaar</t>
  </si>
  <si>
    <t>Betrouwbaar, Traceerbaar, Interoperabel, Doelmatig</t>
  </si>
  <si>
    <t>Innovatief, Toekomstvast, Wendbaar, Betekenisvol, Doorwerkend</t>
  </si>
  <si>
    <t>Wendbaar, Flexibel, Toekomstvast, Interoperabel</t>
  </si>
  <si>
    <t>Duurzaam, Doelmatig, Toekomstvast</t>
  </si>
  <si>
    <t>Soeverein, Autonoom, Interoperabel, Betrouwbaar</t>
  </si>
  <si>
    <t>Inclusief, Rechtmatig, Transparant, Betrouwbaar</t>
  </si>
  <si>
    <t>Rechtmatig, Transparant, Traceerbaar, Betrouwbaar</t>
  </si>
  <si>
    <t>Doelmatig, Herbruikbaar, Toekomstvast</t>
  </si>
  <si>
    <t>Toepasbaar, Betekenisvol, Mensgericht, Doorwerkend</t>
  </si>
  <si>
    <t>Samenwerkend, Interoperabel, Traceerbaar, Betrouwbaar</t>
  </si>
  <si>
    <t>Autonoom, Persoonlijk, Privacyvriendelijk, Toegankelijk</t>
  </si>
  <si>
    <t>Betrouwbaar, Transparant, Toekomstvast, Doorwerkend</t>
  </si>
  <si>
    <t>Welzijnsgericht, Mensgericht, Veilig</t>
  </si>
  <si>
    <t>Doorwerkend, Toepasbaar, Betekenisvol, Transparant</t>
  </si>
  <si>
    <t>WCAG/EN 301 549</t>
  </si>
  <si>
    <t>Edustandaard, OOAPI</t>
  </si>
  <si>
    <t>FAIR/Open Science</t>
  </si>
  <si>
    <t>NORA/Edustandaard/ROSA</t>
  </si>
  <si>
    <t>UX-richtlijnen</t>
  </si>
  <si>
    <t>AVG art. 5/13-15</t>
  </si>
  <si>
    <t>DAMA-DMBOK</t>
  </si>
  <si>
    <t>Ethische kaders</t>
  </si>
  <si>
    <t>DDD/microservices</t>
  </si>
  <si>
    <t>Green IT</t>
  </si>
  <si>
    <t>AI-ethiek/AVG</t>
  </si>
  <si>
    <t>AVG/ISO 27001</t>
  </si>
  <si>
    <t>Portfoliomanagement</t>
  </si>
  <si>
    <t>eIDAS/contractstandaard</t>
  </si>
  <si>
    <t>AVG, ISO 27701</t>
  </si>
  <si>
    <t>Service design</t>
  </si>
  <si>
    <t>Edustandaard/ROSA</t>
  </si>
  <si>
    <t>Verifiable credentials</t>
  </si>
  <si>
    <t>Ethische UX</t>
  </si>
  <si>
    <t>Open Science/FAIR</t>
  </si>
  <si>
    <t>PDCA/Lean/SAFe</t>
  </si>
  <si>
    <t>Uitzonderingen (-beheer)</t>
  </si>
  <si>
    <t>• ELSI (Ethical, Legal, Social Implications)/privacy-toets 
• Exit-criteria &amp; evaluatie 
• Expliciete go/no-go</t>
  </si>
  <si>
    <t>ABHO/Linking Pin AR; transitiepad</t>
  </si>
  <si>
    <t>% systemen met dataminimalisatie;
# DPIA’s;
% geanonimiseerde analytics</t>
  </si>
  <si>
    <t>MTT patch (kritiek);
% MFA;
# incidenten ≥ medium</t>
  </si>
  <si>
    <t>% conform AA;
# issues opgelost &lt;30 dgn</t>
  </si>
  <si>
    <t>% integraties op standaard;
koppelingsdoorlooptijd</t>
  </si>
  <si>
    <t>% outputs met open licentie;
# hergebruiken</t>
  </si>
  <si>
    <t>% projecten met hergebruik;
bespaarde TCO</t>
  </si>
  <si>
    <t>System Usability Score (SUS)/Net Promotor Score (NPS);
taak-succesratio</t>
  </si>
  <si>
    <t>% processen met lineage;
# uitlegbaarheidsrapporten</t>
  </si>
  <si>
    <t>DQ-scores;
# duplicaten;
% data-domeinen met eigenaar</t>
  </si>
  <si>
    <t>% pilots met ELSI;
% opschaling</t>
  </si>
  <si>
    <t>Lead time;
deploy-frequentie;
scaling-succes</t>
  </si>
  <si>
    <t>kWh/eenheid;
CO₂-eq/workload;
% hergebruik</t>
  </si>
  <si>
    <t>% leveranciers met getest exitplan;
# datasets buiten EU</t>
  </si>
  <si>
    <t># bias-issues;
outcome-verschillen</t>
  </si>
  <si>
    <t>% controls op orde;
# kritieke bevindingen</t>
  </si>
  <si>
    <t>€ per actieve gebruiker;
# uitgefaseerde doublures</t>
  </si>
  <si>
    <t>% MAU (Monthly Active Users);
taak-completion</t>
  </si>
  <si>
    <t>% processen met gedeeld model;
# reconciliaties</t>
  </si>
  <si>
    <t>% lerenden met inzage/controle;
# gedeelde VC’s</t>
  </si>
  <si>
    <t>% doelen behaald;
doorlooptijd verbeteringen</t>
  </si>
  <si>
    <t>Overload-signalen;
# meldingen sociale onveiligheid</t>
  </si>
  <si>
    <t># implementaties/beleidscitaten;
% projecten met “in gebruik” resultaat</t>
  </si>
  <si>
    <t>Principe</t>
  </si>
  <si>
    <t>AP-01 Privacy-by-default</t>
  </si>
  <si>
    <t>✓</t>
  </si>
  <si>
    <t>AP-02 Security-by-design</t>
  </si>
  <si>
    <t>AP-03 Toegankelijkheid-standaard</t>
  </si>
  <si>
    <t>AP-04 Interoperabiliteit-norm</t>
  </si>
  <si>
    <t>AP-05 Open-tot-de-grens</t>
  </si>
  <si>
    <t>AP-06 Hergebruik-eerst</t>
  </si>
  <si>
    <t>AP-07 Mensgerichte-ervaring</t>
  </si>
  <si>
    <t>AP-08 Transparant &amp; verklaarbaar</t>
  </si>
  <si>
    <t>AP-09 Formele datagovernance</t>
  </si>
  <si>
    <t>AP-10 Verantwoorde innovatie</t>
  </si>
  <si>
    <t>AP-11 Modulaire wendbaarheid</t>
  </si>
  <si>
    <t>AP-12 Duurzaamheid-verankerd</t>
  </si>
  <si>
    <t>AP-13 Data-soevereiniteit</t>
  </si>
  <si>
    <t>AP-14 Fairness &amp; non-discriminatie</t>
  </si>
  <si>
    <t>AP-15 Compliance &amp; audit</t>
  </si>
  <si>
    <t>AP-16 Kosteneffectiviteit</t>
  </si>
  <si>
    <t>AP-17 Gebruiksgestuurd &amp; toepasbaar</t>
  </si>
  <si>
    <t>AP-18 Ketenstandaardisatie</t>
  </si>
  <si>
    <t>AP-19 Persoonsregie op leren</t>
  </si>
  <si>
    <t>AP-20 Continu verbeteren</t>
  </si>
  <si>
    <t>AP-21 Digitaal welbevinden</t>
  </si>
  <si>
    <t>AP-22 Impactsturing-doorwerkend</t>
  </si>
  <si>
    <t>Aantal</t>
  </si>
  <si>
    <t>Begrip</t>
  </si>
  <si>
    <t>Definitie</t>
  </si>
  <si>
    <t>De kernwaarden van dienstverlening beschrijven de uitgangspunten die ten grondslag liggen aan de manier waarop hoger onderwijsdiensten worden geleverd. Deze waarden zijn essentieel voor het waarborgen van een hoge kwaliteit van dienstverlening en klanttevredenheid. Ze vormen de basis voor alle interacties en beslissingen en helpen bij het creëren van een consistente en betrouwbare dienstverlening.
Deze kernwaarden zijn opgebouwd uit 3 componenten: hoger onderwijs dienstverlening is rechtvaardige, menselijk en autonoom. Deze kernwaarden leggen de basis voor een hoger onderwijsinstelling die studenten, bedrijven, overheden en de maatschappij serieus neemt en hen op een verantwoorde en professionele manier bedient.
(gebaseerd op de NORA https://www.noraonline.nl/wiki/Kernwaarden_van_Dienstverlening)</t>
  </si>
  <si>
    <t>• Open API-specs 
• Federatie (eduID/OIDC/SAML) 
• Afgesproken datamodellen</t>
  </si>
  <si>
    <t>• Gebruikersonderzoek (periodiek)
• Heldere taal/UX-patronen 
• Menselijke escalatiepaden</t>
  </si>
  <si>
    <t>• Duidelijke domeingrenzen 
• Versiebeheer op interfaces 
• Schaalbare capaciteit</t>
  </si>
  <si>
    <t>• Gebruik een control framework 
• Onweerlegbare logging 
• Contractuele naleving</t>
  </si>
  <si>
    <t>• TCO/waarde-case verplicht 
• Deel capabilities 
• Rationaliseer applicaties</t>
  </si>
  <si>
    <t>• Referentiedata/kernregisters 
• Sector impactanalyse</t>
  </si>
  <si>
    <t>• Exit-clausules &amp; dataportabiliteit
• Opslag/verwerking in passende rechtsorde
• Encryptiesleutelbeheer onder eigen regie</t>
  </si>
  <si>
    <t>Kwaliteitsdoelen beschrijven de gewenste kenmerken waaraan de dienstverlening van het hoger onderwijs moet voldoen om effectief, betrouwbaar en gebruiksvriendelijk te zijn. Ze zorgen ervoor dat digitale diensten aansluiten op de behoeften van studenten, bedrijven, overheden en de maatschappij. Wanneer kwaliteitsdoelen ontbreken, kunnen inefficiënte, onveilige of slecht toegankelijke diensten ontstaan.
Deze doelen helpen hoger onderwijsinstellingen bij het ontwerpen, implementeren en verbeteren van hun dienstverlening. Ze bieden houvast bij architectuurkeuzes en zorgen voor consistentie en samenwerking met partijen buiten de instelling. Door kwaliteitsdoelen centraal te stellen, wordt dienstverlening transparanter, toekomstbestendig en beter afgestemd op gebruikersbehoeften.
(gebaseerd op de NORA: https://www.noraonline.nl/wiki/Kwaliteitsdoelen)</t>
  </si>
  <si>
    <t>Integriteit en herleidbaarheid zorgen voor eerlijke behandeling en transparante verantwoording.</t>
  </si>
  <si>
    <t>Doelmatige inzet van deels publieke middelen bevordert rechtvaardige verdeling van baten en lasten.</t>
  </si>
  <si>
    <t>Maatschappelijke waarde wordt zichtbaar en eerlijk verdeeld doordat resultaten aantoonbaar landen in beleid/praktijk.</t>
  </si>
  <si>
    <t>Samenwerking zorgt voor gezamenlijke waardecreatie en eerlijke spreiding van effecten.</t>
  </si>
  <si>
    <t>Herkomst en verantwoordelijkheid zijn te volgen, wat publieke verantwoording  en eerlijkheid ondersteunt.</t>
  </si>
  <si>
    <t>Bestendigheid borgt maatschappelijke waarde op lange termijn.</t>
  </si>
  <si>
    <t>Oplossingen sluiten aan op echte praktijksituaties van burgers, bedrijven, overheden en de maatschappij in het algemeen.</t>
  </si>
  <si>
    <t>Waarom</t>
  </si>
  <si>
    <t>Hoe</t>
  </si>
  <si>
    <t>Architectuurprincipes zijn richtlijnen die hoger onderwijsinstellingen helpen bij het inrichten van hun digitale dienstverlening. Ze zorgen voor samenhang, hergebruik en efficiëntie in ICT-voorzieningen, waardoor diensten beter aansluiten op de behoeften van studenten, bedrijven, overheden en de maatschappij.
Deze principes zijn er om een consistente en toekomstbestendige architectuur binnen hoger onderwijsinstellingen te bevorderen. Ze ondersteunen besluitvorming en maken samenwerking eenvoudiger. Door architectuurprincipes toe te passen, ontstaat een flexibele, transparante en betrouwbare digitale hoger onderwijsinstelling die efficiënt inspeelt op technologische en maatschappelijke ontwikkelingen.
(gebaseerd op https://www.noraonline.nl/wiki/Architectuurprincipes)</t>
  </si>
  <si>
    <t>Bouw modulair en loosely coupled voor snelle aanpasbaarheid.</t>
  </si>
  <si>
    <t>Stem definities/processen HO-breed af: één waarheid.</t>
  </si>
  <si>
    <t>Geef de student regie over leerpad, bewijzen en datadeling.</t>
  </si>
  <si>
    <t>Interoperability-first</t>
  </si>
  <si>
    <t>Gebruik open standaarden voor gegevens en koppelvlakken.</t>
  </si>
  <si>
    <t>Experimenteer gecontroleerd en met inachtneming van publieke waarden.</t>
  </si>
  <si>
    <t>Leg naleving aantoonbaar vast met audittrails.</t>
  </si>
  <si>
    <t>Neem Total Cost of Ownership en publieke waarde mee in élke keuze.</t>
  </si>
  <si>
    <t>Eigen regie op leren</t>
  </si>
  <si>
    <t>ISO 27001/27002, NIS2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</si>
</sst>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2"/>
      <color theme="1"/>
      <name val="Aptos Narrow"/>
      <family val="2"/>
      <scheme val="minor"/>
    </font>
    <font>
      <b/>
      <sz val="12"/>
      <color theme="1"/>
      <name val="Aptos Narrow"/>
      <family val="2"/>
      <scheme val="minor"/>
    </font>
    <font>
      <b/>
      <i/>
      <sz val="12"/>
      <color theme="1"/>
      <name val="Aptos Narrow"/>
      <family val="2"/>
      <scheme val="minor"/>
    </font>
    <font>
      <sz val="12"/>
      <color theme="1"/>
      <name val="Aptos Narrow"/>
      <scheme val="minor"/>
    </font>
    <font>
      <sz val="11"/>
      <color theme="1"/>
      <name val="Aptos Narrow"/>
      <family val="2"/>
      <scheme val="minor"/>
    </font>
    <font>
      <b/>
      <sz val="11"/>
      <color theme="1"/>
      <name val="Aptos Narrow"/>
      <family val="2"/>
      <scheme val="minor"/>
    </font>
    <font>
      <b/>
      <sz val="11"/>
      <name val="Calibri"/>
      <family val="2"/>
    </font>
    <font>
      <i/>
      <sz val="11"/>
      <name val="Calibri"/>
      <family val="2"/>
    </font>
    <font>
      <i/>
      <sz val="12"/>
      <color theme="1"/>
      <name val="Aptos Narrow"/>
      <family val="2"/>
      <scheme val="minor"/>
    </font>
    <font>
      <i/>
      <sz val="12"/>
      <color theme="1"/>
      <name val="Aptos Narrow"/>
      <scheme val="minor"/>
    </font>
    <font>
      <b/>
      <sz val="12"/>
      <color theme="1"/>
      <name val="Aptos Narrow"/>
      <scheme val="minor"/>
    </font>
  </fonts>
  <fills count="2">
    <fill>
      <patternFill patternType="none"/>
    </fill>
    <fill>
      <patternFill patternType="gray125"/>
    </fill>
  </fills>
  <borders count="6">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top style="thin">
        <color indexed="64"/>
      </top>
      <bottom style="double">
        <color indexed="64"/>
      </bottom>
      <diagonal/>
    </border>
    <border>
      <left style="thin">
        <color indexed="64"/>
      </left>
      <right/>
      <top/>
      <bottom/>
      <diagonal/>
    </border>
    <border>
      <left style="thin">
        <color auto="1"/>
      </left>
      <right/>
      <top style="thin">
        <color auto="1"/>
      </top>
      <bottom style="thin">
        <color auto="1"/>
      </bottom>
      <diagonal/>
    </border>
  </borders>
  <cellStyleXfs count="2">
    <xf numFmtId="0" fontId="0" fillId="0" borderId="0"/>
    <xf numFmtId="0" fontId="4" fillId="0" borderId="0"/>
  </cellStyleXfs>
  <cellXfs count="18">
    <xf numFmtId="0" fontId="0" fillId="0" borderId="0" xfId="0"/>
    <xf numFmtId="0" fontId="1" fillId="0" borderId="0" xfId="0" applyFont="1"/>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3" fillId="0" borderId="0" xfId="0" applyFont="1" applyAlignment="1">
      <alignment vertical="top"/>
    </xf>
    <xf numFmtId="0" fontId="0" fillId="0" borderId="0" xfId="0" applyAlignment="1">
      <alignment vertical="top" wrapText="1"/>
    </xf>
    <xf numFmtId="0" fontId="5" fillId="0" borderId="0" xfId="1" applyFont="1" applyAlignment="1">
      <alignment vertical="top"/>
    </xf>
    <xf numFmtId="0" fontId="4" fillId="0" borderId="0" xfId="1" applyAlignment="1">
      <alignment vertical="top"/>
    </xf>
    <xf numFmtId="0" fontId="4" fillId="0" borderId="0" xfId="1" applyAlignment="1">
      <alignment vertical="top" wrapText="1"/>
    </xf>
    <xf numFmtId="0" fontId="0" fillId="0" borderId="0" xfId="0" applyAlignment="1">
      <alignment horizontal="center"/>
    </xf>
    <xf numFmtId="0" fontId="6" fillId="0" borderId="1" xfId="0" applyFont="1" applyBorder="1" applyAlignment="1">
      <alignment horizontal="center" vertical="top"/>
    </xf>
    <xf numFmtId="0" fontId="6" fillId="0" borderId="5" xfId="0" applyFont="1" applyBorder="1" applyAlignment="1">
      <alignment horizontal="center" vertical="top"/>
    </xf>
    <xf numFmtId="0" fontId="7" fillId="0" borderId="2" xfId="0" applyFont="1" applyBorder="1" applyAlignment="1">
      <alignment horizontal="center" vertical="top"/>
    </xf>
    <xf numFmtId="0" fontId="8" fillId="0" borderId="4" xfId="0" applyFont="1" applyBorder="1" applyAlignment="1">
      <alignment horizontal="center"/>
    </xf>
    <xf numFmtId="0" fontId="8" fillId="0" borderId="0" xfId="0" applyFont="1" applyAlignment="1">
      <alignment horizontal="center"/>
    </xf>
    <xf numFmtId="0" fontId="9" fillId="0" borderId="3" xfId="0" applyFont="1" applyBorder="1" applyAlignment="1">
      <alignment horizontal="center"/>
    </xf>
    <xf numFmtId="0" fontId="10" fillId="0" borderId="0" xfId="0" applyFont="1" applyAlignment="1">
      <alignment vertical="top"/>
    </xf>
  </cellXfs>
  <cellStyles count="2">
    <cellStyle name="Standaard" xfId="0" builtinId="0"/>
    <cellStyle name="Standaard 2" xfId="1" xr:uid="{8E87F16A-C9FB-F645-A869-6F4B78C0C3B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AB2EC-F8DF-D441-B470-B7E981EDC5E4}">
  <dimension ref="A1:B4"/>
  <sheetViews>
    <sheetView zoomScale="130" zoomScaleNormal="130" workbookViewId="0">
      <selection activeCell="A4" sqref="A4"/>
    </sheetView>
  </sheetViews>
  <sheetFormatPr baseColWidth="10" defaultRowHeight="16" x14ac:dyDescent="0.2"/>
  <cols>
    <col min="1" max="1" width="12.6640625" style="4" bestFit="1" customWidth="1"/>
    <col min="2" max="2" width="115.5" style="4" customWidth="1"/>
    <col min="3" max="16384" width="10.83203125" style="4"/>
  </cols>
  <sheetData>
    <row r="1" spans="1:2" x14ac:dyDescent="0.2">
      <c r="A1" s="17" t="s">
        <v>325</v>
      </c>
      <c r="B1" s="17" t="s">
        <v>326</v>
      </c>
    </row>
    <row r="2" spans="1:2" ht="136" x14ac:dyDescent="0.2">
      <c r="A2" s="4" t="s">
        <v>52</v>
      </c>
      <c r="B2" s="6" t="s">
        <v>327</v>
      </c>
    </row>
    <row r="3" spans="1:2" ht="153" x14ac:dyDescent="0.2">
      <c r="A3" s="4" t="s">
        <v>0</v>
      </c>
      <c r="B3" s="6" t="s">
        <v>335</v>
      </c>
    </row>
    <row r="4" spans="1:2" ht="153" x14ac:dyDescent="0.2">
      <c r="A4" s="4" t="s">
        <v>300</v>
      </c>
      <c r="B4" s="6" t="s">
        <v>345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86D30-E8CE-F04E-8995-EAC08812EE51}">
  <dimension ref="A1:B4"/>
  <sheetViews>
    <sheetView zoomScale="140" zoomScaleNormal="140" workbookViewId="0">
      <selection activeCell="B4" sqref="B4"/>
    </sheetView>
  </sheetViews>
  <sheetFormatPr baseColWidth="10" defaultRowHeight="15" x14ac:dyDescent="0.2"/>
  <cols>
    <col min="1" max="1" width="14.33203125" style="8" bestFit="1" customWidth="1"/>
    <col min="2" max="2" width="89.33203125" style="8" customWidth="1"/>
    <col min="3" max="16384" width="10.83203125" style="8"/>
  </cols>
  <sheetData>
    <row r="1" spans="1:2" x14ac:dyDescent="0.2">
      <c r="A1" s="7" t="s">
        <v>52</v>
      </c>
      <c r="B1" s="7" t="s">
        <v>53</v>
      </c>
    </row>
    <row r="2" spans="1:2" ht="64" x14ac:dyDescent="0.2">
      <c r="A2" s="8" t="s">
        <v>54</v>
      </c>
      <c r="B2" s="9" t="s">
        <v>55</v>
      </c>
    </row>
    <row r="3" spans="1:2" ht="48" x14ac:dyDescent="0.2">
      <c r="A3" s="8" t="s">
        <v>56</v>
      </c>
      <c r="B3" s="9" t="s">
        <v>57</v>
      </c>
    </row>
    <row r="4" spans="1:2" ht="32" x14ac:dyDescent="0.2">
      <c r="A4" s="8" t="s">
        <v>58</v>
      </c>
      <c r="B4" s="9" t="s">
        <v>59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87FD77-2614-7445-8EB6-3909FF5248B6}">
  <dimension ref="A1:B27"/>
  <sheetViews>
    <sheetView zoomScale="120" zoomScaleNormal="120" workbookViewId="0">
      <pane ySplit="1" topLeftCell="A2" activePane="bottomLeft" state="frozen"/>
      <selection pane="bottomLeft" activeCell="B2" sqref="B2"/>
    </sheetView>
  </sheetViews>
  <sheetFormatPr baseColWidth="10" defaultRowHeight="16" x14ac:dyDescent="0.2"/>
  <cols>
    <col min="1" max="1" width="15.6640625" style="4" bestFit="1" customWidth="1"/>
    <col min="2" max="2" width="81.83203125" style="6" customWidth="1"/>
    <col min="3" max="16384" width="10.83203125" style="4"/>
  </cols>
  <sheetData>
    <row r="1" spans="1:2" ht="17" x14ac:dyDescent="0.2">
      <c r="A1" s="2" t="s">
        <v>0</v>
      </c>
      <c r="B1" s="3" t="s">
        <v>1</v>
      </c>
    </row>
    <row r="2" spans="1:2" ht="34" x14ac:dyDescent="0.2">
      <c r="A2" s="5" t="s">
        <v>2</v>
      </c>
      <c r="B2" s="6" t="s">
        <v>3</v>
      </c>
    </row>
    <row r="3" spans="1:2" ht="34" x14ac:dyDescent="0.2">
      <c r="A3" s="5" t="s">
        <v>4</v>
      </c>
      <c r="B3" s="6" t="s">
        <v>5</v>
      </c>
    </row>
    <row r="4" spans="1:2" ht="17" x14ac:dyDescent="0.2">
      <c r="A4" s="5" t="s">
        <v>6</v>
      </c>
      <c r="B4" s="6" t="s">
        <v>7</v>
      </c>
    </row>
    <row r="5" spans="1:2" ht="34" x14ac:dyDescent="0.2">
      <c r="A5" s="5" t="s">
        <v>8</v>
      </c>
      <c r="B5" s="6" t="s">
        <v>9</v>
      </c>
    </row>
    <row r="6" spans="1:2" ht="34" x14ac:dyDescent="0.2">
      <c r="A6" s="5" t="s">
        <v>10</v>
      </c>
      <c r="B6" s="6" t="s">
        <v>11</v>
      </c>
    </row>
    <row r="7" spans="1:2" ht="34" x14ac:dyDescent="0.2">
      <c r="A7" s="5" t="s">
        <v>12</v>
      </c>
      <c r="B7" s="6" t="s">
        <v>13</v>
      </c>
    </row>
    <row r="8" spans="1:2" ht="17" x14ac:dyDescent="0.2">
      <c r="A8" s="5" t="s">
        <v>14</v>
      </c>
      <c r="B8" s="6" t="s">
        <v>15</v>
      </c>
    </row>
    <row r="9" spans="1:2" ht="17" x14ac:dyDescent="0.2">
      <c r="A9" s="5" t="s">
        <v>16</v>
      </c>
      <c r="B9" s="6" t="s">
        <v>17</v>
      </c>
    </row>
    <row r="10" spans="1:2" ht="17" x14ac:dyDescent="0.2">
      <c r="A10" s="5" t="s">
        <v>18</v>
      </c>
      <c r="B10" s="6" t="s">
        <v>19</v>
      </c>
    </row>
    <row r="11" spans="1:2" ht="34" x14ac:dyDescent="0.2">
      <c r="A11" s="5" t="s">
        <v>20</v>
      </c>
      <c r="B11" s="6" t="s">
        <v>21</v>
      </c>
    </row>
    <row r="12" spans="1:2" ht="34" x14ac:dyDescent="0.2">
      <c r="A12" s="5" t="s">
        <v>22</v>
      </c>
      <c r="B12" s="6" t="s">
        <v>23</v>
      </c>
    </row>
    <row r="13" spans="1:2" ht="17" x14ac:dyDescent="0.2">
      <c r="A13" s="5" t="s">
        <v>24</v>
      </c>
      <c r="B13" s="6" t="s">
        <v>25</v>
      </c>
    </row>
    <row r="14" spans="1:2" ht="17" x14ac:dyDescent="0.2">
      <c r="A14" s="5" t="s">
        <v>26</v>
      </c>
      <c r="B14" s="6" t="s">
        <v>27</v>
      </c>
    </row>
    <row r="15" spans="1:2" ht="34" x14ac:dyDescent="0.2">
      <c r="A15" s="5" t="s">
        <v>28</v>
      </c>
      <c r="B15" s="6" t="s">
        <v>29</v>
      </c>
    </row>
    <row r="16" spans="1:2" ht="17" x14ac:dyDescent="0.2">
      <c r="A16" s="5" t="s">
        <v>30</v>
      </c>
      <c r="B16" s="6" t="s">
        <v>31</v>
      </c>
    </row>
    <row r="17" spans="1:2" ht="17" x14ac:dyDescent="0.2">
      <c r="A17" s="5" t="s">
        <v>32</v>
      </c>
      <c r="B17" s="6" t="s">
        <v>33</v>
      </c>
    </row>
    <row r="18" spans="1:2" ht="17" x14ac:dyDescent="0.2">
      <c r="A18" s="5" t="s">
        <v>34</v>
      </c>
      <c r="B18" s="6" t="s">
        <v>35</v>
      </c>
    </row>
    <row r="19" spans="1:2" ht="17" x14ac:dyDescent="0.2">
      <c r="A19" s="5" t="s">
        <v>36</v>
      </c>
      <c r="B19" s="6" t="s">
        <v>37</v>
      </c>
    </row>
    <row r="20" spans="1:2" ht="17" x14ac:dyDescent="0.2">
      <c r="A20" s="5" t="s">
        <v>38</v>
      </c>
      <c r="B20" s="6" t="s">
        <v>39</v>
      </c>
    </row>
    <row r="21" spans="1:2" ht="17" x14ac:dyDescent="0.2">
      <c r="A21" s="5" t="s">
        <v>40</v>
      </c>
      <c r="B21" s="6" t="s">
        <v>41</v>
      </c>
    </row>
    <row r="22" spans="1:2" ht="17" x14ac:dyDescent="0.2">
      <c r="A22" s="5" t="s">
        <v>42</v>
      </c>
      <c r="B22" s="6" t="s">
        <v>43</v>
      </c>
    </row>
    <row r="23" spans="1:2" ht="17" x14ac:dyDescent="0.2">
      <c r="A23" s="5" t="s">
        <v>44</v>
      </c>
      <c r="B23" s="6" t="s">
        <v>45</v>
      </c>
    </row>
    <row r="24" spans="1:2" ht="17" x14ac:dyDescent="0.2">
      <c r="A24" s="5" t="s">
        <v>46</v>
      </c>
      <c r="B24" s="6" t="s">
        <v>47</v>
      </c>
    </row>
    <row r="25" spans="1:2" ht="17" x14ac:dyDescent="0.2">
      <c r="A25" s="5" t="s">
        <v>48</v>
      </c>
      <c r="B25" s="6" t="s">
        <v>49</v>
      </c>
    </row>
    <row r="26" spans="1:2" ht="17" x14ac:dyDescent="0.2">
      <c r="A26" s="5" t="s">
        <v>50</v>
      </c>
      <c r="B26" s="6" t="s">
        <v>51</v>
      </c>
    </row>
    <row r="27" spans="1:2" x14ac:dyDescent="0.2">
      <c r="A27" s="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56ED3-2F46-E34F-909A-D1DF1EE339B0}">
  <dimension ref="A1:C32"/>
  <sheetViews>
    <sheetView zoomScale="130" zoomScaleNormal="130" workbookViewId="0">
      <pane ySplit="1" topLeftCell="A2" activePane="bottomLeft" state="frozen"/>
      <selection pane="bottomLeft" activeCell="B7" sqref="B7"/>
    </sheetView>
  </sheetViews>
  <sheetFormatPr baseColWidth="10" defaultRowHeight="16" x14ac:dyDescent="0.2"/>
  <cols>
    <col min="1" max="2" width="15.5" bestFit="1" customWidth="1"/>
    <col min="3" max="3" width="101.1640625" customWidth="1"/>
  </cols>
  <sheetData>
    <row r="1" spans="1:3" x14ac:dyDescent="0.2">
      <c r="A1" s="1" t="s">
        <v>52</v>
      </c>
      <c r="B1" s="1" t="s">
        <v>0</v>
      </c>
      <c r="C1" s="1" t="s">
        <v>189</v>
      </c>
    </row>
    <row r="2" spans="1:3" x14ac:dyDescent="0.2">
      <c r="A2" t="s">
        <v>54</v>
      </c>
      <c r="B2" t="s">
        <v>6</v>
      </c>
      <c r="C2" t="s">
        <v>336</v>
      </c>
    </row>
    <row r="3" spans="1:3" x14ac:dyDescent="0.2">
      <c r="A3" t="s">
        <v>54</v>
      </c>
      <c r="B3" t="s">
        <v>8</v>
      </c>
      <c r="C3" t="s">
        <v>337</v>
      </c>
    </row>
    <row r="4" spans="1:3" x14ac:dyDescent="0.2">
      <c r="A4" t="s">
        <v>54</v>
      </c>
      <c r="B4" t="s">
        <v>10</v>
      </c>
      <c r="C4" t="s">
        <v>338</v>
      </c>
    </row>
    <row r="5" spans="1:3" x14ac:dyDescent="0.2">
      <c r="A5" t="s">
        <v>54</v>
      </c>
      <c r="B5" t="s">
        <v>12</v>
      </c>
      <c r="C5" t="s">
        <v>190</v>
      </c>
    </row>
    <row r="6" spans="1:3" x14ac:dyDescent="0.2">
      <c r="A6" t="s">
        <v>54</v>
      </c>
      <c r="B6" t="s">
        <v>16</v>
      </c>
      <c r="C6" t="s">
        <v>191</v>
      </c>
    </row>
    <row r="7" spans="1:3" x14ac:dyDescent="0.2">
      <c r="A7" t="s">
        <v>54</v>
      </c>
      <c r="B7" t="s">
        <v>18</v>
      </c>
      <c r="C7" t="s">
        <v>192</v>
      </c>
    </row>
    <row r="8" spans="1:3" x14ac:dyDescent="0.2">
      <c r="A8" t="s">
        <v>54</v>
      </c>
      <c r="B8" t="s">
        <v>22</v>
      </c>
      <c r="C8" t="s">
        <v>193</v>
      </c>
    </row>
    <row r="9" spans="1:3" x14ac:dyDescent="0.2">
      <c r="A9" t="s">
        <v>54</v>
      </c>
      <c r="B9" t="s">
        <v>30</v>
      </c>
      <c r="C9" t="s">
        <v>194</v>
      </c>
    </row>
    <row r="10" spans="1:3" x14ac:dyDescent="0.2">
      <c r="A10" t="s">
        <v>54</v>
      </c>
      <c r="B10" t="s">
        <v>32</v>
      </c>
      <c r="C10" t="s">
        <v>339</v>
      </c>
    </row>
    <row r="11" spans="1:3" x14ac:dyDescent="0.2">
      <c r="A11" t="s">
        <v>54</v>
      </c>
      <c r="B11" t="s">
        <v>36</v>
      </c>
      <c r="C11" t="s">
        <v>195</v>
      </c>
    </row>
    <row r="12" spans="1:3" x14ac:dyDescent="0.2">
      <c r="A12" t="s">
        <v>54</v>
      </c>
      <c r="B12" t="s">
        <v>38</v>
      </c>
      <c r="C12" t="s">
        <v>196</v>
      </c>
    </row>
    <row r="13" spans="1:3" x14ac:dyDescent="0.2">
      <c r="A13" t="s">
        <v>54</v>
      </c>
      <c r="B13" t="s">
        <v>40</v>
      </c>
      <c r="C13" t="s">
        <v>340</v>
      </c>
    </row>
    <row r="14" spans="1:3" x14ac:dyDescent="0.2">
      <c r="A14" t="s">
        <v>54</v>
      </c>
      <c r="B14" t="s">
        <v>42</v>
      </c>
      <c r="C14" t="s">
        <v>197</v>
      </c>
    </row>
    <row r="15" spans="1:3" x14ac:dyDescent="0.2">
      <c r="A15" t="s">
        <v>54</v>
      </c>
      <c r="B15" t="s">
        <v>44</v>
      </c>
      <c r="C15" t="s">
        <v>341</v>
      </c>
    </row>
    <row r="16" spans="1:3" x14ac:dyDescent="0.2">
      <c r="A16" t="s">
        <v>56</v>
      </c>
      <c r="B16" t="s">
        <v>4</v>
      </c>
      <c r="C16" t="s">
        <v>198</v>
      </c>
    </row>
    <row r="17" spans="1:3" x14ac:dyDescent="0.2">
      <c r="A17" t="s">
        <v>56</v>
      </c>
      <c r="B17" t="s">
        <v>10</v>
      </c>
      <c r="C17" t="s">
        <v>199</v>
      </c>
    </row>
    <row r="18" spans="1:3" x14ac:dyDescent="0.2">
      <c r="A18" t="s">
        <v>56</v>
      </c>
      <c r="B18" t="s">
        <v>24</v>
      </c>
      <c r="C18" t="s">
        <v>200</v>
      </c>
    </row>
    <row r="19" spans="1:3" x14ac:dyDescent="0.2">
      <c r="A19" t="s">
        <v>56</v>
      </c>
      <c r="B19" t="s">
        <v>26</v>
      </c>
      <c r="C19" t="s">
        <v>201</v>
      </c>
    </row>
    <row r="20" spans="1:3" x14ac:dyDescent="0.2">
      <c r="A20" t="s">
        <v>56</v>
      </c>
      <c r="B20" t="s">
        <v>32</v>
      </c>
      <c r="C20" t="s">
        <v>202</v>
      </c>
    </row>
    <row r="21" spans="1:3" x14ac:dyDescent="0.2">
      <c r="A21" t="s">
        <v>56</v>
      </c>
      <c r="B21" t="s">
        <v>38</v>
      </c>
      <c r="C21" t="s">
        <v>342</v>
      </c>
    </row>
    <row r="22" spans="1:3" x14ac:dyDescent="0.2">
      <c r="A22" t="s">
        <v>56</v>
      </c>
      <c r="B22" t="s">
        <v>46</v>
      </c>
      <c r="C22" t="s">
        <v>203</v>
      </c>
    </row>
    <row r="23" spans="1:3" x14ac:dyDescent="0.2">
      <c r="A23" t="s">
        <v>56</v>
      </c>
      <c r="B23" t="s">
        <v>48</v>
      </c>
      <c r="C23" t="s">
        <v>204</v>
      </c>
    </row>
    <row r="24" spans="1:3" x14ac:dyDescent="0.2">
      <c r="A24" t="s">
        <v>58</v>
      </c>
      <c r="B24" t="s">
        <v>2</v>
      </c>
      <c r="C24" t="s">
        <v>205</v>
      </c>
    </row>
    <row r="25" spans="1:3" x14ac:dyDescent="0.2">
      <c r="A25" t="s">
        <v>58</v>
      </c>
      <c r="B25" t="s">
        <v>14</v>
      </c>
      <c r="C25" t="s">
        <v>206</v>
      </c>
    </row>
    <row r="26" spans="1:3" x14ac:dyDescent="0.2">
      <c r="A26" t="s">
        <v>58</v>
      </c>
      <c r="B26" t="s">
        <v>20</v>
      </c>
      <c r="C26" t="s">
        <v>207</v>
      </c>
    </row>
    <row r="27" spans="1:3" x14ac:dyDescent="0.2">
      <c r="A27" t="s">
        <v>58</v>
      </c>
      <c r="B27" t="s">
        <v>22</v>
      </c>
      <c r="C27" t="s">
        <v>208</v>
      </c>
    </row>
    <row r="28" spans="1:3" x14ac:dyDescent="0.2">
      <c r="A28" t="s">
        <v>58</v>
      </c>
      <c r="B28" t="s">
        <v>26</v>
      </c>
      <c r="C28" t="s">
        <v>209</v>
      </c>
    </row>
    <row r="29" spans="1:3" x14ac:dyDescent="0.2">
      <c r="A29" t="s">
        <v>58</v>
      </c>
      <c r="B29" t="s">
        <v>28</v>
      </c>
      <c r="C29" t="s">
        <v>210</v>
      </c>
    </row>
    <row r="30" spans="1:3" x14ac:dyDescent="0.2">
      <c r="A30" t="s">
        <v>58</v>
      </c>
      <c r="B30" t="s">
        <v>34</v>
      </c>
      <c r="C30" t="s">
        <v>211</v>
      </c>
    </row>
    <row r="31" spans="1:3" x14ac:dyDescent="0.2">
      <c r="A31" t="s">
        <v>58</v>
      </c>
      <c r="B31" t="s">
        <v>44</v>
      </c>
      <c r="C31" t="s">
        <v>212</v>
      </c>
    </row>
    <row r="32" spans="1:3" x14ac:dyDescent="0.2">
      <c r="A32" t="s">
        <v>58</v>
      </c>
      <c r="B32" t="s">
        <v>50</v>
      </c>
      <c r="C32" t="s">
        <v>213</v>
      </c>
    </row>
  </sheetData>
  <pageMargins left="0.7" right="0.7" top="0.75" bottom="0.75" header="0.3" footer="0.3"/>
  <pageSetup paperSize="9"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5A8F58-5DA3-274F-B699-0AA52C8BCE2D}">
  <dimension ref="A1:K23"/>
  <sheetViews>
    <sheetView tabSelected="1" zoomScale="130" zoomScaleNormal="130" workbookViewId="0">
      <pane xSplit="2" ySplit="1" topLeftCell="E2" activePane="bottomRight" state="frozen"/>
      <selection pane="topRight" activeCell="C1" sqref="C1"/>
      <selection pane="bottomLeft" activeCell="A2" sqref="A2"/>
      <selection pane="bottomRight" activeCell="H4" sqref="H4"/>
    </sheetView>
  </sheetViews>
  <sheetFormatPr baseColWidth="10" defaultRowHeight="16" x14ac:dyDescent="0.2"/>
  <cols>
    <col min="1" max="1" width="6.1640625" style="4" bestFit="1" customWidth="1"/>
    <col min="2" max="2" width="27.1640625" style="4" bestFit="1" customWidth="1"/>
    <col min="3" max="3" width="68.1640625" style="4" bestFit="1" customWidth="1"/>
    <col min="4" max="4" width="62.83203125" style="6" bestFit="1" customWidth="1"/>
    <col min="5" max="5" width="44.1640625" style="4" customWidth="1"/>
    <col min="6" max="6" width="17.83203125" style="4" customWidth="1"/>
    <col min="7" max="7" width="55.5" style="4" bestFit="1" customWidth="1"/>
    <col min="8" max="8" width="26.5" style="4" bestFit="1" customWidth="1"/>
    <col min="9" max="9" width="44.83203125" style="4" bestFit="1" customWidth="1"/>
    <col min="10" max="10" width="48.1640625" style="4" bestFit="1" customWidth="1"/>
    <col min="11" max="11" width="35.33203125" style="4" bestFit="1" customWidth="1"/>
    <col min="12" max="16384" width="10.83203125" style="4"/>
  </cols>
  <sheetData>
    <row r="1" spans="1:11" ht="51" x14ac:dyDescent="0.2">
      <c r="A1" s="2" t="s">
        <v>60</v>
      </c>
      <c r="B1" s="2" t="s">
        <v>61</v>
      </c>
      <c r="C1" s="2" t="s">
        <v>62</v>
      </c>
      <c r="D1" s="3" t="s">
        <v>343</v>
      </c>
      <c r="E1" s="2" t="s">
        <v>344</v>
      </c>
      <c r="F1" s="3" t="s">
        <v>229</v>
      </c>
      <c r="G1" s="2" t="s">
        <v>230</v>
      </c>
      <c r="H1" s="2" t="s">
        <v>231</v>
      </c>
      <c r="I1" s="2" t="s">
        <v>275</v>
      </c>
      <c r="J1" s="2" t="s">
        <v>63</v>
      </c>
      <c r="K1" s="2" t="s">
        <v>64</v>
      </c>
    </row>
    <row r="2" spans="1:11" ht="51" x14ac:dyDescent="0.2">
      <c r="A2" s="2" t="s">
        <v>65</v>
      </c>
      <c r="B2" s="4" t="s">
        <v>66</v>
      </c>
      <c r="C2" s="4" t="s">
        <v>67</v>
      </c>
      <c r="D2" s="6" t="s">
        <v>68</v>
      </c>
      <c r="E2" s="6" t="s">
        <v>215</v>
      </c>
      <c r="F2" s="4" t="s">
        <v>69</v>
      </c>
      <c r="G2" s="4" t="s">
        <v>232</v>
      </c>
      <c r="H2" s="4" t="s">
        <v>268</v>
      </c>
      <c r="I2" s="4" t="s">
        <v>70</v>
      </c>
      <c r="J2" s="6" t="s">
        <v>278</v>
      </c>
      <c r="K2" s="4" t="s">
        <v>71</v>
      </c>
    </row>
    <row r="3" spans="1:11" ht="51" x14ac:dyDescent="0.2">
      <c r="A3" s="2" t="s">
        <v>72</v>
      </c>
      <c r="B3" s="4" t="s">
        <v>73</v>
      </c>
      <c r="C3" s="4" t="s">
        <v>74</v>
      </c>
      <c r="D3" s="6" t="s">
        <v>75</v>
      </c>
      <c r="E3" s="6" t="s">
        <v>216</v>
      </c>
      <c r="F3" s="4" t="s">
        <v>69</v>
      </c>
      <c r="G3" s="6" t="s">
        <v>233</v>
      </c>
      <c r="H3" s="6" t="s">
        <v>355</v>
      </c>
      <c r="I3" s="4" t="s">
        <v>76</v>
      </c>
      <c r="J3" s="6" t="s">
        <v>279</v>
      </c>
      <c r="K3" s="4" t="s">
        <v>77</v>
      </c>
    </row>
    <row r="4" spans="1:11" ht="51" x14ac:dyDescent="0.2">
      <c r="A4" s="2" t="s">
        <v>78</v>
      </c>
      <c r="B4" s="4" t="s">
        <v>79</v>
      </c>
      <c r="C4" s="4" t="s">
        <v>80</v>
      </c>
      <c r="D4" s="6" t="s">
        <v>81</v>
      </c>
      <c r="E4" s="6" t="s">
        <v>217</v>
      </c>
      <c r="F4" s="4" t="s">
        <v>69</v>
      </c>
      <c r="G4" s="6" t="s">
        <v>234</v>
      </c>
      <c r="H4" s="6" t="s">
        <v>254</v>
      </c>
      <c r="I4" s="4" t="s">
        <v>82</v>
      </c>
      <c r="J4" s="6" t="s">
        <v>280</v>
      </c>
      <c r="K4" s="4" t="s">
        <v>83</v>
      </c>
    </row>
    <row r="5" spans="1:11" ht="51" x14ac:dyDescent="0.2">
      <c r="A5" s="2" t="s">
        <v>84</v>
      </c>
      <c r="B5" s="4" t="s">
        <v>349</v>
      </c>
      <c r="C5" s="4" t="s">
        <v>350</v>
      </c>
      <c r="D5" s="6" t="s">
        <v>85</v>
      </c>
      <c r="E5" s="6" t="s">
        <v>328</v>
      </c>
      <c r="F5" s="4" t="s">
        <v>69</v>
      </c>
      <c r="G5" s="6" t="s">
        <v>235</v>
      </c>
      <c r="H5" s="6" t="s">
        <v>255</v>
      </c>
      <c r="I5" s="4" t="s">
        <v>86</v>
      </c>
      <c r="J5" s="6" t="s">
        <v>281</v>
      </c>
      <c r="K5" s="4" t="s">
        <v>87</v>
      </c>
    </row>
    <row r="6" spans="1:11" ht="51" x14ac:dyDescent="0.2">
      <c r="A6" s="2" t="s">
        <v>88</v>
      </c>
      <c r="B6" s="4" t="s">
        <v>89</v>
      </c>
      <c r="C6" s="4" t="s">
        <v>90</v>
      </c>
      <c r="D6" s="6" t="s">
        <v>91</v>
      </c>
      <c r="E6" s="6" t="s">
        <v>218</v>
      </c>
      <c r="F6" s="4" t="s">
        <v>69</v>
      </c>
      <c r="G6" s="6" t="s">
        <v>236</v>
      </c>
      <c r="H6" s="6" t="s">
        <v>256</v>
      </c>
      <c r="I6" s="4" t="s">
        <v>92</v>
      </c>
      <c r="J6" s="6" t="s">
        <v>282</v>
      </c>
      <c r="K6" s="4" t="s">
        <v>93</v>
      </c>
    </row>
    <row r="7" spans="1:11" ht="51" x14ac:dyDescent="0.2">
      <c r="A7" s="2" t="s">
        <v>94</v>
      </c>
      <c r="B7" s="4" t="s">
        <v>95</v>
      </c>
      <c r="C7" s="4" t="s">
        <v>96</v>
      </c>
      <c r="D7" s="6" t="s">
        <v>97</v>
      </c>
      <c r="E7" s="6" t="s">
        <v>219</v>
      </c>
      <c r="F7" s="4" t="s">
        <v>69</v>
      </c>
      <c r="G7" s="6" t="s">
        <v>237</v>
      </c>
      <c r="H7" s="6" t="s">
        <v>257</v>
      </c>
      <c r="I7" s="4" t="s">
        <v>98</v>
      </c>
      <c r="J7" s="6" t="s">
        <v>283</v>
      </c>
      <c r="K7" s="4" t="s">
        <v>99</v>
      </c>
    </row>
    <row r="8" spans="1:11" ht="51" x14ac:dyDescent="0.2">
      <c r="A8" s="2" t="s">
        <v>100</v>
      </c>
      <c r="B8" s="4" t="s">
        <v>101</v>
      </c>
      <c r="C8" s="4" t="s">
        <v>102</v>
      </c>
      <c r="D8" s="4" t="s">
        <v>103</v>
      </c>
      <c r="E8" s="6" t="s">
        <v>329</v>
      </c>
      <c r="F8" s="4" t="s">
        <v>104</v>
      </c>
      <c r="G8" s="6" t="s">
        <v>238</v>
      </c>
      <c r="H8" s="6" t="s">
        <v>258</v>
      </c>
      <c r="I8" s="4" t="s">
        <v>105</v>
      </c>
      <c r="J8" s="6" t="s">
        <v>284</v>
      </c>
      <c r="K8" s="4" t="s">
        <v>106</v>
      </c>
    </row>
    <row r="9" spans="1:11" ht="51" x14ac:dyDescent="0.2">
      <c r="A9" s="2" t="s">
        <v>107</v>
      </c>
      <c r="B9" s="4" t="s">
        <v>108</v>
      </c>
      <c r="C9" s="4" t="s">
        <v>109</v>
      </c>
      <c r="D9" s="6" t="s">
        <v>110</v>
      </c>
      <c r="E9" s="6" t="s">
        <v>220</v>
      </c>
      <c r="F9" s="4" t="s">
        <v>69</v>
      </c>
      <c r="G9" s="6" t="s">
        <v>239</v>
      </c>
      <c r="H9" s="6" t="s">
        <v>259</v>
      </c>
      <c r="I9" s="4" t="s">
        <v>111</v>
      </c>
      <c r="J9" s="6" t="s">
        <v>285</v>
      </c>
      <c r="K9" s="4" t="s">
        <v>112</v>
      </c>
    </row>
    <row r="10" spans="1:11" ht="51" x14ac:dyDescent="0.2">
      <c r="A10" s="2" t="s">
        <v>113</v>
      </c>
      <c r="B10" s="4" t="s">
        <v>114</v>
      </c>
      <c r="C10" s="4" t="s">
        <v>115</v>
      </c>
      <c r="D10" s="6" t="s">
        <v>116</v>
      </c>
      <c r="E10" s="6" t="s">
        <v>221</v>
      </c>
      <c r="F10" s="4" t="s">
        <v>69</v>
      </c>
      <c r="G10" s="6" t="s">
        <v>240</v>
      </c>
      <c r="H10" s="6" t="s">
        <v>260</v>
      </c>
      <c r="I10" s="4" t="s">
        <v>117</v>
      </c>
      <c r="J10" s="6" t="s">
        <v>286</v>
      </c>
      <c r="K10" s="4" t="s">
        <v>118</v>
      </c>
    </row>
    <row r="11" spans="1:11" ht="68" x14ac:dyDescent="0.2">
      <c r="A11" s="2" t="s">
        <v>119</v>
      </c>
      <c r="B11" s="4" t="s">
        <v>120</v>
      </c>
      <c r="C11" s="4" t="s">
        <v>351</v>
      </c>
      <c r="D11" s="6" t="s">
        <v>121</v>
      </c>
      <c r="E11" s="6" t="s">
        <v>276</v>
      </c>
      <c r="F11" s="4" t="s">
        <v>104</v>
      </c>
      <c r="G11" s="4" t="s">
        <v>241</v>
      </c>
      <c r="H11" s="4" t="s">
        <v>261</v>
      </c>
      <c r="I11" s="4" t="s">
        <v>122</v>
      </c>
      <c r="J11" s="6" t="s">
        <v>287</v>
      </c>
      <c r="K11" s="4" t="s">
        <v>123</v>
      </c>
    </row>
    <row r="12" spans="1:11" ht="51" x14ac:dyDescent="0.2">
      <c r="A12" s="2" t="s">
        <v>124</v>
      </c>
      <c r="B12" s="4" t="s">
        <v>125</v>
      </c>
      <c r="C12" s="4" t="s">
        <v>346</v>
      </c>
      <c r="D12" s="6" t="s">
        <v>126</v>
      </c>
      <c r="E12" s="6" t="s">
        <v>330</v>
      </c>
      <c r="F12" s="4" t="s">
        <v>69</v>
      </c>
      <c r="G12" s="4" t="s">
        <v>242</v>
      </c>
      <c r="H12" s="4" t="s">
        <v>262</v>
      </c>
      <c r="I12" s="4" t="s">
        <v>127</v>
      </c>
      <c r="J12" s="6" t="s">
        <v>288</v>
      </c>
      <c r="K12" s="4" t="s">
        <v>128</v>
      </c>
    </row>
    <row r="13" spans="1:11" ht="51" x14ac:dyDescent="0.2">
      <c r="A13" s="2" t="s">
        <v>129</v>
      </c>
      <c r="B13" s="4" t="s">
        <v>130</v>
      </c>
      <c r="C13" s="4" t="s">
        <v>131</v>
      </c>
      <c r="D13" s="6" t="s">
        <v>132</v>
      </c>
      <c r="E13" s="6" t="s">
        <v>222</v>
      </c>
      <c r="F13" s="4" t="s">
        <v>69</v>
      </c>
      <c r="G13" s="4" t="s">
        <v>243</v>
      </c>
      <c r="H13" s="4" t="s">
        <v>263</v>
      </c>
      <c r="I13" s="4" t="s">
        <v>133</v>
      </c>
      <c r="J13" s="6" t="s">
        <v>289</v>
      </c>
      <c r="K13" s="4" t="s">
        <v>134</v>
      </c>
    </row>
    <row r="14" spans="1:11" ht="51" x14ac:dyDescent="0.2">
      <c r="A14" s="2" t="s">
        <v>135</v>
      </c>
      <c r="B14" s="4" t="s">
        <v>136</v>
      </c>
      <c r="C14" s="4" t="s">
        <v>137</v>
      </c>
      <c r="D14" s="6" t="s">
        <v>138</v>
      </c>
      <c r="E14" s="6" t="s">
        <v>334</v>
      </c>
      <c r="F14" s="4" t="s">
        <v>69</v>
      </c>
      <c r="G14" s="4" t="s">
        <v>244</v>
      </c>
      <c r="H14" s="4" t="s">
        <v>267</v>
      </c>
      <c r="I14" s="4" t="s">
        <v>139</v>
      </c>
      <c r="J14" s="6" t="s">
        <v>290</v>
      </c>
      <c r="K14" s="4" t="s">
        <v>140</v>
      </c>
    </row>
    <row r="15" spans="1:11" ht="51" x14ac:dyDescent="0.2">
      <c r="A15" s="2" t="s">
        <v>141</v>
      </c>
      <c r="B15" s="4" t="s">
        <v>142</v>
      </c>
      <c r="C15" s="4" t="s">
        <v>143</v>
      </c>
      <c r="D15" s="6" t="s">
        <v>144</v>
      </c>
      <c r="E15" s="6" t="s">
        <v>223</v>
      </c>
      <c r="F15" s="4" t="s">
        <v>69</v>
      </c>
      <c r="G15" s="4" t="s">
        <v>245</v>
      </c>
      <c r="H15" s="4" t="s">
        <v>264</v>
      </c>
      <c r="I15" s="4" t="s">
        <v>145</v>
      </c>
      <c r="J15" s="6" t="s">
        <v>291</v>
      </c>
      <c r="K15" s="4" t="s">
        <v>146</v>
      </c>
    </row>
    <row r="16" spans="1:11" ht="51" x14ac:dyDescent="0.2">
      <c r="A16" s="2" t="s">
        <v>147</v>
      </c>
      <c r="B16" s="4" t="s">
        <v>148</v>
      </c>
      <c r="C16" s="4" t="s">
        <v>352</v>
      </c>
      <c r="D16" s="6" t="s">
        <v>149</v>
      </c>
      <c r="E16" s="6" t="s">
        <v>331</v>
      </c>
      <c r="F16" s="4" t="s">
        <v>69</v>
      </c>
      <c r="G16" s="4" t="s">
        <v>246</v>
      </c>
      <c r="H16" s="4" t="s">
        <v>265</v>
      </c>
      <c r="I16" s="4" t="s">
        <v>150</v>
      </c>
      <c r="J16" s="6" t="s">
        <v>292</v>
      </c>
      <c r="K16" s="4" t="s">
        <v>151</v>
      </c>
    </row>
    <row r="17" spans="1:11" ht="51" x14ac:dyDescent="0.2">
      <c r="A17" s="2" t="s">
        <v>152</v>
      </c>
      <c r="B17" s="4" t="s">
        <v>153</v>
      </c>
      <c r="C17" s="4" t="s">
        <v>353</v>
      </c>
      <c r="D17" s="6" t="s">
        <v>154</v>
      </c>
      <c r="E17" s="6" t="s">
        <v>332</v>
      </c>
      <c r="F17" s="4" t="s">
        <v>69</v>
      </c>
      <c r="G17" s="4" t="s">
        <v>247</v>
      </c>
      <c r="H17" s="4" t="s">
        <v>266</v>
      </c>
      <c r="I17" s="4" t="s">
        <v>155</v>
      </c>
      <c r="J17" s="6" t="s">
        <v>293</v>
      </c>
      <c r="K17" s="4" t="s">
        <v>156</v>
      </c>
    </row>
    <row r="18" spans="1:11" ht="51" x14ac:dyDescent="0.2">
      <c r="A18" s="2" t="s">
        <v>157</v>
      </c>
      <c r="B18" s="4" t="s">
        <v>158</v>
      </c>
      <c r="C18" s="4" t="s">
        <v>159</v>
      </c>
      <c r="D18" s="6" t="s">
        <v>160</v>
      </c>
      <c r="E18" s="6" t="s">
        <v>224</v>
      </c>
      <c r="F18" s="4" t="s">
        <v>104</v>
      </c>
      <c r="G18" s="4" t="s">
        <v>248</v>
      </c>
      <c r="H18" s="4" t="s">
        <v>269</v>
      </c>
      <c r="I18" s="4" t="s">
        <v>161</v>
      </c>
      <c r="J18" s="6" t="s">
        <v>294</v>
      </c>
      <c r="K18" s="4" t="s">
        <v>162</v>
      </c>
    </row>
    <row r="19" spans="1:11" ht="34" x14ac:dyDescent="0.2">
      <c r="A19" s="2" t="s">
        <v>163</v>
      </c>
      <c r="B19" s="4" t="s">
        <v>214</v>
      </c>
      <c r="C19" s="4" t="s">
        <v>347</v>
      </c>
      <c r="D19" s="6" t="s">
        <v>164</v>
      </c>
      <c r="E19" s="6" t="s">
        <v>333</v>
      </c>
      <c r="F19" s="4" t="s">
        <v>165</v>
      </c>
      <c r="G19" s="4" t="s">
        <v>249</v>
      </c>
      <c r="H19" s="4" t="s">
        <v>270</v>
      </c>
      <c r="I19" s="4" t="s">
        <v>277</v>
      </c>
      <c r="J19" s="6" t="s">
        <v>295</v>
      </c>
      <c r="K19" s="4" t="s">
        <v>166</v>
      </c>
    </row>
    <row r="20" spans="1:11" ht="51" x14ac:dyDescent="0.2">
      <c r="A20" s="2" t="s">
        <v>167</v>
      </c>
      <c r="B20" s="4" t="s">
        <v>354</v>
      </c>
      <c r="C20" s="4" t="s">
        <v>348</v>
      </c>
      <c r="D20" s="6" t="s">
        <v>168</v>
      </c>
      <c r="E20" s="6" t="s">
        <v>225</v>
      </c>
      <c r="F20" s="4" t="s">
        <v>69</v>
      </c>
      <c r="G20" s="4" t="s">
        <v>250</v>
      </c>
      <c r="H20" s="4" t="s">
        <v>271</v>
      </c>
      <c r="I20" s="4" t="s">
        <v>169</v>
      </c>
      <c r="J20" s="6" t="s">
        <v>296</v>
      </c>
      <c r="K20" s="4" t="s">
        <v>170</v>
      </c>
    </row>
    <row r="21" spans="1:11" ht="51" x14ac:dyDescent="0.2">
      <c r="A21" s="2" t="s">
        <v>171</v>
      </c>
      <c r="B21" s="4" t="s">
        <v>172</v>
      </c>
      <c r="C21" s="4" t="s">
        <v>173</v>
      </c>
      <c r="D21" s="6" t="s">
        <v>174</v>
      </c>
      <c r="E21" s="6" t="s">
        <v>226</v>
      </c>
      <c r="F21" s="4" t="s">
        <v>104</v>
      </c>
      <c r="G21" s="4" t="s">
        <v>251</v>
      </c>
      <c r="H21" s="4" t="s">
        <v>274</v>
      </c>
      <c r="I21" s="4" t="s">
        <v>175</v>
      </c>
      <c r="J21" s="6" t="s">
        <v>297</v>
      </c>
      <c r="K21" s="4" t="s">
        <v>176</v>
      </c>
    </row>
    <row r="22" spans="1:11" ht="51" x14ac:dyDescent="0.2">
      <c r="A22" s="2" t="s">
        <v>177</v>
      </c>
      <c r="B22" s="4" t="s">
        <v>178</v>
      </c>
      <c r="C22" s="4" t="s">
        <v>179</v>
      </c>
      <c r="D22" s="6" t="s">
        <v>180</v>
      </c>
      <c r="E22" s="6" t="s">
        <v>227</v>
      </c>
      <c r="F22" s="4" t="s">
        <v>104</v>
      </c>
      <c r="G22" s="4" t="s">
        <v>252</v>
      </c>
      <c r="H22" s="4" t="s">
        <v>272</v>
      </c>
      <c r="I22" s="4" t="s">
        <v>181</v>
      </c>
      <c r="J22" s="6" t="s">
        <v>298</v>
      </c>
      <c r="K22" s="4" t="s">
        <v>182</v>
      </c>
    </row>
    <row r="23" spans="1:11" ht="51" x14ac:dyDescent="0.2">
      <c r="A23" s="2" t="s">
        <v>183</v>
      </c>
      <c r="B23" s="4" t="s">
        <v>184</v>
      </c>
      <c r="C23" s="4" t="s">
        <v>185</v>
      </c>
      <c r="D23" s="6" t="s">
        <v>186</v>
      </c>
      <c r="E23" s="6" t="s">
        <v>228</v>
      </c>
      <c r="F23" s="4" t="s">
        <v>69</v>
      </c>
      <c r="G23" s="4" t="s">
        <v>253</v>
      </c>
      <c r="H23" s="4" t="s">
        <v>273</v>
      </c>
      <c r="I23" s="4" t="s">
        <v>187</v>
      </c>
      <c r="J23" s="6" t="s">
        <v>299</v>
      </c>
      <c r="K23" s="4" t="s">
        <v>188</v>
      </c>
    </row>
  </sheetData>
  <pageMargins left="0.7" right="0.7" top="0.75" bottom="0.75" header="0.3" footer="0.3"/>
  <pageSetup paperSize="9"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CE6F2-E867-C042-AB97-BD9426F66CC1}">
  <dimension ref="A1:AA25"/>
  <sheetViews>
    <sheetView zoomScale="130" zoomScaleNormal="130" workbookViewId="0">
      <pane xSplit="1" ySplit="1" topLeftCell="B2" activePane="bottomRight" state="frozen"/>
      <selection pane="topRight" activeCell="B1" sqref="B1"/>
      <selection pane="bottomLeft" activeCell="A2" sqref="A2"/>
      <selection pane="bottomRight" activeCell="D15" sqref="D15"/>
    </sheetView>
  </sheetViews>
  <sheetFormatPr baseColWidth="10" defaultRowHeight="16" x14ac:dyDescent="0.2"/>
  <cols>
    <col min="1" max="1" width="32.5" bestFit="1" customWidth="1"/>
    <col min="2" max="2" width="9.5" bestFit="1" customWidth="1"/>
    <col min="3" max="4" width="11.1640625" bestFit="1" customWidth="1"/>
    <col min="5" max="5" width="9.1640625" style="10" bestFit="1" customWidth="1"/>
    <col min="6" max="6" width="11.83203125" style="10" bestFit="1" customWidth="1"/>
    <col min="7" max="7" width="8.83203125" style="10" bestFit="1" customWidth="1"/>
    <col min="8" max="8" width="7.33203125" style="10" bestFit="1" customWidth="1"/>
    <col min="9" max="9" width="11.33203125" style="10" bestFit="1" customWidth="1"/>
    <col min="10" max="10" width="7.6640625" style="10" bestFit="1" customWidth="1"/>
    <col min="11" max="11" width="9" style="10" bestFit="1" customWidth="1"/>
    <col min="12" max="12" width="12" style="10" bestFit="1" customWidth="1"/>
    <col min="13" max="13" width="11" style="10" bestFit="1" customWidth="1"/>
    <col min="14" max="14" width="9.83203125" style="10" bestFit="1" customWidth="1"/>
    <col min="15" max="15" width="15" style="10" bestFit="1" customWidth="1"/>
    <col min="16" max="16" width="10" style="10" bestFit="1" customWidth="1"/>
    <col min="17" max="17" width="13.1640625" style="10" bestFit="1" customWidth="1"/>
    <col min="18" max="18" width="9" style="10" bestFit="1" customWidth="1"/>
    <col min="19" max="19" width="10.83203125" style="10"/>
    <col min="20" max="20" width="11.6640625" style="10" bestFit="1" customWidth="1"/>
    <col min="21" max="21" width="9.83203125" style="10" bestFit="1" customWidth="1"/>
    <col min="22" max="23" width="10.33203125" style="10" bestFit="1" customWidth="1"/>
    <col min="24" max="24" width="5.6640625" style="10" bestFit="1" customWidth="1"/>
    <col min="25" max="25" width="13.1640625" style="10" bestFit="1" customWidth="1"/>
    <col min="26" max="26" width="9.1640625" style="10" bestFit="1" customWidth="1"/>
    <col min="27" max="27" width="7" style="15" bestFit="1" customWidth="1"/>
  </cols>
  <sheetData>
    <row r="1" spans="1:27" x14ac:dyDescent="0.2">
      <c r="A1" s="11" t="s">
        <v>300</v>
      </c>
      <c r="B1" s="11" t="s">
        <v>2</v>
      </c>
      <c r="C1" s="11" t="s">
        <v>4</v>
      </c>
      <c r="D1" s="11" t="s">
        <v>6</v>
      </c>
      <c r="E1" s="11" t="s">
        <v>8</v>
      </c>
      <c r="F1" s="11" t="s">
        <v>10</v>
      </c>
      <c r="G1" s="11" t="s">
        <v>12</v>
      </c>
      <c r="H1" s="11" t="s">
        <v>14</v>
      </c>
      <c r="I1" s="11" t="s">
        <v>16</v>
      </c>
      <c r="J1" s="11" t="s">
        <v>18</v>
      </c>
      <c r="K1" s="11" t="s">
        <v>20</v>
      </c>
      <c r="L1" s="11" t="s">
        <v>22</v>
      </c>
      <c r="M1" s="11" t="s">
        <v>24</v>
      </c>
      <c r="N1" s="11" t="s">
        <v>26</v>
      </c>
      <c r="O1" s="11" t="s">
        <v>28</v>
      </c>
      <c r="P1" s="11" t="s">
        <v>30</v>
      </c>
      <c r="Q1" s="11" t="s">
        <v>32</v>
      </c>
      <c r="R1" s="11" t="s">
        <v>34</v>
      </c>
      <c r="S1" s="11" t="s">
        <v>36</v>
      </c>
      <c r="T1" s="11" t="s">
        <v>44</v>
      </c>
      <c r="U1" s="11" t="s">
        <v>38</v>
      </c>
      <c r="V1" s="11" t="s">
        <v>40</v>
      </c>
      <c r="W1" s="11" t="s">
        <v>42</v>
      </c>
      <c r="X1" s="11" t="s">
        <v>46</v>
      </c>
      <c r="Y1" s="11" t="s">
        <v>48</v>
      </c>
      <c r="Z1" s="12" t="s">
        <v>50</v>
      </c>
      <c r="AA1" s="13" t="s">
        <v>324</v>
      </c>
    </row>
    <row r="2" spans="1:27" x14ac:dyDescent="0.2">
      <c r="A2" t="s">
        <v>301</v>
      </c>
      <c r="B2" t="s">
        <v>302</v>
      </c>
      <c r="D2" t="s">
        <v>302</v>
      </c>
      <c r="O2" s="10" t="s">
        <v>302</v>
      </c>
      <c r="P2" s="10" t="s">
        <v>302</v>
      </c>
      <c r="AA2" s="14">
        <f>(-25+COUNTBLANK(B2:Z2))*-1</f>
        <v>4</v>
      </c>
    </row>
    <row r="3" spans="1:27" x14ac:dyDescent="0.2">
      <c r="A3" t="s">
        <v>303</v>
      </c>
      <c r="D3" t="s">
        <v>302</v>
      </c>
      <c r="T3" s="10" t="s">
        <v>302</v>
      </c>
      <c r="X3" s="10" t="s">
        <v>302</v>
      </c>
      <c r="Y3" s="10" t="s">
        <v>302</v>
      </c>
      <c r="AA3" s="14">
        <f t="shared" ref="AA3:AA23" si="0">(-25+COUNTBLANK(B3:Z3))*-1</f>
        <v>4</v>
      </c>
    </row>
    <row r="4" spans="1:27" x14ac:dyDescent="0.2">
      <c r="A4" t="s">
        <v>304</v>
      </c>
      <c r="J4" s="10" t="s">
        <v>302</v>
      </c>
      <c r="M4" s="10" t="s">
        <v>302</v>
      </c>
      <c r="S4" s="10" t="s">
        <v>302</v>
      </c>
      <c r="AA4" s="14">
        <f t="shared" si="0"/>
        <v>3</v>
      </c>
    </row>
    <row r="5" spans="1:27" x14ac:dyDescent="0.2">
      <c r="A5" t="s">
        <v>305</v>
      </c>
      <c r="L5" s="10" t="s">
        <v>302</v>
      </c>
      <c r="Q5" s="10" t="s">
        <v>302</v>
      </c>
      <c r="R5" s="10" t="s">
        <v>302</v>
      </c>
      <c r="V5" s="10" t="s">
        <v>302</v>
      </c>
      <c r="AA5" s="14">
        <f t="shared" si="0"/>
        <v>4</v>
      </c>
    </row>
    <row r="6" spans="1:27" x14ac:dyDescent="0.2">
      <c r="A6" t="s">
        <v>306</v>
      </c>
      <c r="E6" s="10" t="s">
        <v>302</v>
      </c>
      <c r="I6" s="10" t="s">
        <v>302</v>
      </c>
      <c r="W6" s="10" t="s">
        <v>302</v>
      </c>
      <c r="AA6" s="14">
        <f t="shared" si="0"/>
        <v>3</v>
      </c>
    </row>
    <row r="7" spans="1:27" x14ac:dyDescent="0.2">
      <c r="A7" t="s">
        <v>307</v>
      </c>
      <c r="E7" s="10" t="s">
        <v>302</v>
      </c>
      <c r="I7" s="10" t="s">
        <v>302</v>
      </c>
      <c r="T7" s="10" t="s">
        <v>302</v>
      </c>
      <c r="AA7" s="14">
        <f t="shared" si="0"/>
        <v>3</v>
      </c>
    </row>
    <row r="8" spans="1:27" x14ac:dyDescent="0.2">
      <c r="A8" t="s">
        <v>308</v>
      </c>
      <c r="C8" t="s">
        <v>302</v>
      </c>
      <c r="M8" s="10" t="s">
        <v>302</v>
      </c>
      <c r="N8" s="10" t="s">
        <v>302</v>
      </c>
      <c r="S8" s="10" t="s">
        <v>302</v>
      </c>
      <c r="AA8" s="14">
        <f t="shared" si="0"/>
        <v>4</v>
      </c>
    </row>
    <row r="9" spans="1:27" x14ac:dyDescent="0.2">
      <c r="A9" t="s">
        <v>309</v>
      </c>
      <c r="D9" t="s">
        <v>302</v>
      </c>
      <c r="V9" s="10" t="s">
        <v>302</v>
      </c>
      <c r="W9" s="10" t="s">
        <v>302</v>
      </c>
      <c r="AA9" s="14">
        <f t="shared" si="0"/>
        <v>3</v>
      </c>
    </row>
    <row r="10" spans="1:27" x14ac:dyDescent="0.2">
      <c r="A10" t="s">
        <v>310</v>
      </c>
      <c r="D10" t="s">
        <v>302</v>
      </c>
      <c r="E10" s="10" t="s">
        <v>302</v>
      </c>
      <c r="L10" s="10" t="s">
        <v>302</v>
      </c>
      <c r="V10" s="10" t="s">
        <v>302</v>
      </c>
      <c r="AA10" s="14">
        <f t="shared" si="0"/>
        <v>4</v>
      </c>
    </row>
    <row r="11" spans="1:27" x14ac:dyDescent="0.2">
      <c r="A11" t="s">
        <v>311</v>
      </c>
      <c r="C11" t="s">
        <v>302</v>
      </c>
      <c r="F11" s="10" t="s">
        <v>302</v>
      </c>
      <c r="K11" s="10" t="s">
        <v>302</v>
      </c>
      <c r="T11" s="10" t="s">
        <v>302</v>
      </c>
      <c r="Z11" s="10" t="s">
        <v>302</v>
      </c>
      <c r="AA11" s="14">
        <f t="shared" si="0"/>
        <v>5</v>
      </c>
    </row>
    <row r="12" spans="1:27" x14ac:dyDescent="0.2">
      <c r="A12" t="s">
        <v>312</v>
      </c>
      <c r="H12" s="10" t="s">
        <v>302</v>
      </c>
      <c r="L12" s="10" t="s">
        <v>302</v>
      </c>
      <c r="T12" s="10" t="s">
        <v>302</v>
      </c>
      <c r="Z12" s="10" t="s">
        <v>302</v>
      </c>
      <c r="AA12" s="14">
        <f t="shared" si="0"/>
        <v>4</v>
      </c>
    </row>
    <row r="13" spans="1:27" x14ac:dyDescent="0.2">
      <c r="A13" t="s">
        <v>313</v>
      </c>
      <c r="E13" s="10" t="s">
        <v>302</v>
      </c>
      <c r="G13" s="10" t="s">
        <v>302</v>
      </c>
      <c r="T13" s="10" t="s">
        <v>302</v>
      </c>
      <c r="AA13" s="14">
        <f t="shared" si="0"/>
        <v>3</v>
      </c>
    </row>
    <row r="14" spans="1:27" x14ac:dyDescent="0.2">
      <c r="A14" t="s">
        <v>314</v>
      </c>
      <c r="B14" t="s">
        <v>302</v>
      </c>
      <c r="D14" t="s">
        <v>302</v>
      </c>
      <c r="L14" s="10" t="s">
        <v>302</v>
      </c>
      <c r="R14" s="10" t="s">
        <v>302</v>
      </c>
      <c r="AA14" s="14">
        <f t="shared" si="0"/>
        <v>4</v>
      </c>
    </row>
    <row r="15" spans="1:27" x14ac:dyDescent="0.2">
      <c r="A15" t="s">
        <v>315</v>
      </c>
      <c r="D15" t="s">
        <v>302</v>
      </c>
      <c r="J15" s="10" t="s">
        <v>302</v>
      </c>
      <c r="P15" s="10" t="s">
        <v>302</v>
      </c>
      <c r="W15" s="10" t="s">
        <v>302</v>
      </c>
      <c r="AA15" s="14">
        <f t="shared" si="0"/>
        <v>4</v>
      </c>
    </row>
    <row r="16" spans="1:27" x14ac:dyDescent="0.2">
      <c r="A16" t="s">
        <v>316</v>
      </c>
      <c r="D16" t="s">
        <v>302</v>
      </c>
      <c r="P16" s="10" t="s">
        <v>302</v>
      </c>
      <c r="V16" s="10" t="s">
        <v>302</v>
      </c>
      <c r="W16" s="10" t="s">
        <v>302</v>
      </c>
      <c r="AA16" s="14">
        <f t="shared" si="0"/>
        <v>4</v>
      </c>
    </row>
    <row r="17" spans="1:27" x14ac:dyDescent="0.2">
      <c r="A17" t="s">
        <v>317</v>
      </c>
      <c r="E17" s="10" t="s">
        <v>302</v>
      </c>
      <c r="I17" s="10" t="s">
        <v>302</v>
      </c>
      <c r="T17" s="10" t="s">
        <v>302</v>
      </c>
      <c r="AA17" s="14">
        <f t="shared" si="0"/>
        <v>3</v>
      </c>
    </row>
    <row r="18" spans="1:27" x14ac:dyDescent="0.2">
      <c r="A18" t="s">
        <v>318</v>
      </c>
      <c r="C18" t="s">
        <v>302</v>
      </c>
      <c r="F18" s="10" t="s">
        <v>302</v>
      </c>
      <c r="M18" s="10" t="s">
        <v>302</v>
      </c>
      <c r="U18" s="10" t="s">
        <v>302</v>
      </c>
      <c r="AA18" s="14">
        <f t="shared" si="0"/>
        <v>4</v>
      </c>
    </row>
    <row r="19" spans="1:27" x14ac:dyDescent="0.2">
      <c r="A19" t="s">
        <v>319</v>
      </c>
      <c r="D19" t="s">
        <v>302</v>
      </c>
      <c r="L19" s="10" t="s">
        <v>302</v>
      </c>
      <c r="Q19" s="10" t="s">
        <v>302</v>
      </c>
      <c r="V19" s="10" t="s">
        <v>302</v>
      </c>
      <c r="AA19" s="14">
        <f t="shared" si="0"/>
        <v>4</v>
      </c>
    </row>
    <row r="20" spans="1:27" x14ac:dyDescent="0.2">
      <c r="A20" t="s">
        <v>320</v>
      </c>
      <c r="B20" t="s">
        <v>302</v>
      </c>
      <c r="N20" s="10" t="s">
        <v>302</v>
      </c>
      <c r="O20" s="10" t="s">
        <v>302</v>
      </c>
      <c r="S20" s="10" t="s">
        <v>302</v>
      </c>
      <c r="AA20" s="14">
        <f t="shared" si="0"/>
        <v>4</v>
      </c>
    </row>
    <row r="21" spans="1:27" x14ac:dyDescent="0.2">
      <c r="A21" t="s">
        <v>321</v>
      </c>
      <c r="D21" t="s">
        <v>302</v>
      </c>
      <c r="F21" s="10" t="s">
        <v>302</v>
      </c>
      <c r="T21" s="10" t="s">
        <v>302</v>
      </c>
      <c r="W21" s="10" t="s">
        <v>302</v>
      </c>
      <c r="AA21" s="14">
        <f t="shared" si="0"/>
        <v>4</v>
      </c>
    </row>
    <row r="22" spans="1:27" x14ac:dyDescent="0.2">
      <c r="A22" t="s">
        <v>322</v>
      </c>
      <c r="M22" s="10" t="s">
        <v>302</v>
      </c>
      <c r="X22" s="10" t="s">
        <v>302</v>
      </c>
      <c r="Y22" s="10" t="s">
        <v>302</v>
      </c>
      <c r="AA22" s="14">
        <f t="shared" si="0"/>
        <v>3</v>
      </c>
    </row>
    <row r="23" spans="1:27" x14ac:dyDescent="0.2">
      <c r="A23" t="s">
        <v>323</v>
      </c>
      <c r="C23" t="s">
        <v>302</v>
      </c>
      <c r="F23" s="10" t="s">
        <v>302</v>
      </c>
      <c r="U23" s="10" t="s">
        <v>302</v>
      </c>
      <c r="W23" s="10" t="s">
        <v>302</v>
      </c>
      <c r="AA23" s="14">
        <f t="shared" si="0"/>
        <v>4</v>
      </c>
    </row>
    <row r="24" spans="1:27" ht="17" thickBot="1" x14ac:dyDescent="0.25">
      <c r="B24" s="16">
        <f t="shared" ref="B24:Y24" si="1">22-COUNTBLANK(B2:B23)</f>
        <v>3</v>
      </c>
      <c r="C24" s="16">
        <f t="shared" si="1"/>
        <v>4</v>
      </c>
      <c r="D24" s="16">
        <f t="shared" si="1"/>
        <v>9</v>
      </c>
      <c r="E24" s="16">
        <f t="shared" si="1"/>
        <v>5</v>
      </c>
      <c r="F24" s="16">
        <f t="shared" si="1"/>
        <v>4</v>
      </c>
      <c r="G24" s="16">
        <f t="shared" si="1"/>
        <v>1</v>
      </c>
      <c r="H24" s="16">
        <f t="shared" si="1"/>
        <v>1</v>
      </c>
      <c r="I24" s="16">
        <f t="shared" si="1"/>
        <v>3</v>
      </c>
      <c r="J24" s="16">
        <f t="shared" si="1"/>
        <v>2</v>
      </c>
      <c r="K24" s="16">
        <f t="shared" si="1"/>
        <v>1</v>
      </c>
      <c r="L24" s="16">
        <f t="shared" si="1"/>
        <v>5</v>
      </c>
      <c r="M24" s="16">
        <f t="shared" si="1"/>
        <v>4</v>
      </c>
      <c r="N24" s="16">
        <f t="shared" si="1"/>
        <v>2</v>
      </c>
      <c r="O24" s="16">
        <f t="shared" si="1"/>
        <v>2</v>
      </c>
      <c r="P24" s="16">
        <f t="shared" si="1"/>
        <v>3</v>
      </c>
      <c r="Q24" s="16">
        <f t="shared" si="1"/>
        <v>2</v>
      </c>
      <c r="R24" s="16">
        <f t="shared" si="1"/>
        <v>2</v>
      </c>
      <c r="S24" s="16">
        <f t="shared" si="1"/>
        <v>3</v>
      </c>
      <c r="T24" s="16">
        <f t="shared" si="1"/>
        <v>7</v>
      </c>
      <c r="U24" s="16">
        <f t="shared" si="1"/>
        <v>2</v>
      </c>
      <c r="V24" s="16">
        <f t="shared" si="1"/>
        <v>5</v>
      </c>
      <c r="W24" s="16">
        <f t="shared" si="1"/>
        <v>6</v>
      </c>
      <c r="X24" s="16">
        <f t="shared" si="1"/>
        <v>2</v>
      </c>
      <c r="Y24" s="16">
        <f t="shared" si="1"/>
        <v>2</v>
      </c>
      <c r="Z24" s="16">
        <f>22-COUNTBLANK(Z2:Z23)</f>
        <v>2</v>
      </c>
    </row>
    <row r="25" spans="1:27" ht="17" thickTop="1" x14ac:dyDescent="0.2"/>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da57bbc-5968-4aae-97ee-77ed473d44fe" xsi:nil="true"/>
    <lcf76f155ced4ddcb4097134ff3c332f xmlns="3d0aad29-e425-4ccd-8121-a6fa9038cd72">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129EDFE439F3D4F9D5FC271561D1456" ma:contentTypeVersion="14" ma:contentTypeDescription="Een nieuw document maken." ma:contentTypeScope="" ma:versionID="2616238fc33df31153d70d5dbaf9bece">
  <xsd:schema xmlns:xsd="http://www.w3.org/2001/XMLSchema" xmlns:xs="http://www.w3.org/2001/XMLSchema" xmlns:p="http://schemas.microsoft.com/office/2006/metadata/properties" xmlns:ns2="3d0aad29-e425-4ccd-8121-a6fa9038cd72" xmlns:ns3="4da57bbc-5968-4aae-97ee-77ed473d44fe" targetNamespace="http://schemas.microsoft.com/office/2006/metadata/properties" ma:root="true" ma:fieldsID="28ae04ade72de9dde50032d759a9fa65" ns2:_="" ns3:_="">
    <xsd:import namespace="3d0aad29-e425-4ccd-8121-a6fa9038cd72"/>
    <xsd:import namespace="4da57bbc-5968-4aae-97ee-77ed473d44f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ServiceObjectDetectorVersion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d0aad29-e425-4ccd-8121-a6fa9038cd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Afbeeldingtags" ma:readOnly="false" ma:fieldId="{5cf76f15-5ced-4ddc-b409-7134ff3c332f}" ma:taxonomyMulti="true" ma:sspId="c6f371a7-af1e-4863-b830-9db92276c562"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da57bbc-5968-4aae-97ee-77ed473d44fe" elementFormDefault="qualified">
    <xsd:import namespace="http://schemas.microsoft.com/office/2006/documentManagement/types"/>
    <xsd:import namespace="http://schemas.microsoft.com/office/infopath/2007/PartnerControls"/>
    <xsd:element name="SharedWithUsers" ma:index="10"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Gedeeld met details" ma:internalName="SharedWithDetails" ma:readOnly="true">
      <xsd:simpleType>
        <xsd:restriction base="dms:Note">
          <xsd:maxLength value="255"/>
        </xsd:restriction>
      </xsd:simpleType>
    </xsd:element>
    <xsd:element name="TaxCatchAll" ma:index="14" nillable="true" ma:displayName="Taxonomy Catch All Column" ma:hidden="true" ma:list="{48f7e099-b5f9-49ce-8d39-9ba7ef9275c4}" ma:internalName="TaxCatchAll" ma:showField="CatchAllData" ma:web="4da57bbc-5968-4aae-97ee-77ed473d44f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A95C9DD-2455-44EB-A61A-CC0D4E2A3A1A}">
  <ds:schemaRefs>
    <ds:schemaRef ds:uri="http://purl.org/dc/terms/"/>
    <ds:schemaRef ds:uri="http://www.w3.org/XML/1998/namespace"/>
    <ds:schemaRef ds:uri="http://purl.org/dc/dcmitype/"/>
    <ds:schemaRef ds:uri="3d0aad29-e425-4ccd-8121-a6fa9038cd72"/>
    <ds:schemaRef ds:uri="http://schemas.microsoft.com/office/2006/documentManagement/types"/>
    <ds:schemaRef ds:uri="http://schemas.microsoft.com/office/infopath/2007/PartnerControls"/>
    <ds:schemaRef ds:uri="http://purl.org/dc/elements/1.1/"/>
    <ds:schemaRef ds:uri="http://schemas.openxmlformats.org/package/2006/metadata/core-properties"/>
    <ds:schemaRef ds:uri="4da57bbc-5968-4aae-97ee-77ed473d44fe"/>
    <ds:schemaRef ds:uri="http://schemas.microsoft.com/office/2006/metadata/properties"/>
  </ds:schemaRefs>
</ds:datastoreItem>
</file>

<file path=customXml/itemProps2.xml><?xml version="1.0" encoding="utf-8"?>
<ds:datastoreItem xmlns:ds="http://schemas.openxmlformats.org/officeDocument/2006/customXml" ds:itemID="{69CEAB76-E6EB-42E0-BC2C-11FE06678BF7}">
  <ds:schemaRefs>
    <ds:schemaRef ds:uri="http://schemas.microsoft.com/sharepoint/v3/contenttype/forms"/>
  </ds:schemaRefs>
</ds:datastoreItem>
</file>

<file path=customXml/itemProps3.xml><?xml version="1.0" encoding="utf-8"?>
<ds:datastoreItem xmlns:ds="http://schemas.openxmlformats.org/officeDocument/2006/customXml" ds:itemID="{8593940F-2374-4BD8-B98E-6934EDD178E1}"/>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Werkbladen</vt:lpstr>
      </vt:variant>
      <vt:variant>
        <vt:i4>6</vt:i4>
      </vt:variant>
    </vt:vector>
  </HeadingPairs>
  <TitlesOfParts>
    <vt:vector size="6" baseType="lpstr">
      <vt:lpstr>Fundamentele definities</vt:lpstr>
      <vt:lpstr>Kernwaardenbeschrijving</vt:lpstr>
      <vt:lpstr>Kwaliteitsdoelenbeschrijving</vt:lpstr>
      <vt:lpstr>Kernwaarde vs kwaliteitsdoel</vt:lpstr>
      <vt:lpstr>Principes</vt:lpstr>
      <vt:lpstr>Kwaliteitsdoel vs principe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Frank Grave</dc:creator>
  <cp:lastModifiedBy>Frank Grave</cp:lastModifiedBy>
  <dcterms:created xsi:type="dcterms:W3CDTF">2025-11-03T11:14:44Z</dcterms:created>
  <dcterms:modified xsi:type="dcterms:W3CDTF">2025-11-18T16:12:16Z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0x010100F129EDFE439F3D4F9D5FC271561D1456</vt:lpwstr>
  </property>
  <property fmtid="{D5CDD505-2E9C-101B-9397-08002B2CF9AE}" pid="3" name="MediaServiceImageTags">
    <vt:lpwstr/>
  </property>
</Properties>
</file>